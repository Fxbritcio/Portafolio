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timelines/timeline2.xml" ContentType="application/vnd.ms-excel.timelin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olla\Downloads\"/>
    </mc:Choice>
  </mc:AlternateContent>
  <xr:revisionPtr revIDLastSave="0" documentId="13_ncr:1_{B58671E7-8024-424D-A333-24873A1C3568}" xr6:coauthVersionLast="36" xr6:coauthVersionMax="36" xr10:uidLastSave="{00000000-0000-0000-0000-000000000000}"/>
  <bookViews>
    <workbookView xWindow="0" yWindow="0" windowWidth="23040" windowHeight="8940" xr2:uid="{1B4A7D11-D583-E94C-90E8-32EAC8371DB1}"/>
  </bookViews>
  <sheets>
    <sheet name="Menú" sheetId="1" r:id="rId1"/>
    <sheet name="Remito" sheetId="14" r:id="rId2"/>
    <sheet name="Productos" sheetId="7" r:id="rId3"/>
    <sheet name="Movimientos" sheetId="2" r:id="rId4"/>
    <sheet name="Ventas" sheetId="4" r:id="rId5"/>
    <sheet name="Compras" sheetId="10" r:id="rId6"/>
    <sheet name="Reporte Ventas" sheetId="6" r:id="rId7"/>
    <sheet name="Reporte Compras" sheetId="12" r:id="rId8"/>
    <sheet name="Inversion" sheetId="5" r:id="rId9"/>
  </sheets>
  <definedNames>
    <definedName name="lista_codigos">tabla_productos[CODIGO]</definedName>
    <definedName name="lista_inversion">#REF!</definedName>
    <definedName name="lista_movimientos">#REF!</definedName>
    <definedName name="LISTA_PRODUCTOS">tabla_productos[PRODUCTO]</definedName>
    <definedName name="NativeTimeline_FECHA">#N/A</definedName>
    <definedName name="NativeTimeline_FECHA1">#N/A</definedName>
  </definedNames>
  <calcPr calcId="191029"/>
  <pivotCaches>
    <pivotCache cacheId="0" r:id="rId10"/>
    <pivotCache cacheId="1" r:id="rId11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  <x15:timelineCacheRef r:id="rId13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4" l="1"/>
  <c r="H8" i="4"/>
  <c r="J8" i="4"/>
  <c r="I17" i="2"/>
  <c r="J17" i="2"/>
  <c r="G8" i="10"/>
  <c r="I18" i="2"/>
  <c r="J18" i="2"/>
  <c r="G9" i="10"/>
  <c r="I19" i="2"/>
  <c r="J19" i="2"/>
  <c r="G10" i="10"/>
  <c r="I20" i="2"/>
  <c r="J20" i="2"/>
  <c r="G11" i="10"/>
  <c r="I21" i="2"/>
  <c r="J21" i="2"/>
  <c r="A10" i="7"/>
  <c r="E10" i="7"/>
  <c r="F10" i="7"/>
  <c r="A9" i="7"/>
  <c r="E9" i="7"/>
  <c r="F9" i="7"/>
  <c r="A8" i="7"/>
  <c r="E8" i="7"/>
  <c r="F8" i="7"/>
  <c r="A7" i="7"/>
  <c r="E7" i="7"/>
  <c r="F7" i="7"/>
  <c r="G8" i="7" l="1"/>
  <c r="H8" i="7" s="1"/>
  <c r="G10" i="7"/>
  <c r="H10" i="7" s="1"/>
  <c r="G9" i="7"/>
  <c r="H9" i="7" s="1"/>
  <c r="G7" i="7"/>
  <c r="H7" i="7" s="1"/>
  <c r="H9" i="4"/>
  <c r="J9" i="4"/>
  <c r="G12" i="10" l="1"/>
  <c r="D11" i="2" l="1"/>
  <c r="D12" i="2" s="1"/>
  <c r="D10" i="2"/>
  <c r="D7" i="2"/>
  <c r="G4" i="7" l="1"/>
  <c r="G5" i="7" s="1"/>
  <c r="F10" i="14"/>
  <c r="F11" i="14"/>
  <c r="F22" i="14" s="1"/>
  <c r="F12" i="14"/>
  <c r="F13" i="14"/>
  <c r="F14" i="14"/>
  <c r="F15" i="14"/>
  <c r="F16" i="14"/>
  <c r="F17" i="14"/>
  <c r="F18" i="14"/>
  <c r="F19" i="14"/>
  <c r="F20" i="14"/>
  <c r="F21" i="14"/>
  <c r="D22" i="14"/>
  <c r="B11" i="5" l="1"/>
</calcChain>
</file>

<file path=xl/sharedStrings.xml><?xml version="1.0" encoding="utf-8"?>
<sst xmlns="http://schemas.openxmlformats.org/spreadsheetml/2006/main" count="131" uniqueCount="60">
  <si>
    <t>PRODUCTO</t>
  </si>
  <si>
    <t>PRECIO COMPRA</t>
  </si>
  <si>
    <t>PRECIO VENTA</t>
  </si>
  <si>
    <t>INVERTIDO</t>
  </si>
  <si>
    <t>STOCK ACTUAL</t>
  </si>
  <si>
    <t>ENTRADAS</t>
  </si>
  <si>
    <t>SALIDAS</t>
  </si>
  <si>
    <t>FECHA</t>
  </si>
  <si>
    <t>MOVIMIENTO</t>
  </si>
  <si>
    <t>CANTIDAD</t>
  </si>
  <si>
    <t>PRECIO DE COMPRA</t>
  </si>
  <si>
    <t>PRECIO DE VENTA</t>
  </si>
  <si>
    <t>SUB. TOTAL</t>
  </si>
  <si>
    <t>OBSERVACIONES</t>
  </si>
  <si>
    <t>TOTAL COMPRA</t>
  </si>
  <si>
    <t>TOTAL VENTA</t>
  </si>
  <si>
    <t>CODIGO</t>
  </si>
  <si>
    <t>Etiquetas de fila</t>
  </si>
  <si>
    <t>Total general</t>
  </si>
  <si>
    <t>(Todas)</t>
  </si>
  <si>
    <t>Ganancia</t>
  </si>
  <si>
    <t>GANANCIA</t>
  </si>
  <si>
    <t>PRECIO VENTA*</t>
  </si>
  <si>
    <t>TOTAL VENTA*</t>
  </si>
  <si>
    <t>GANANCIA*</t>
  </si>
  <si>
    <t>PRECIO COMPRA*</t>
  </si>
  <si>
    <t>TOTAL INVERTIDO</t>
  </si>
  <si>
    <t>CALCULADORA % DE GANANCIA</t>
  </si>
  <si>
    <t>% de Ganancia</t>
  </si>
  <si>
    <t>COSTO MERCADERIA</t>
  </si>
  <si>
    <t>TOTAL</t>
  </si>
  <si>
    <t>Fecha:</t>
  </si>
  <si>
    <t>Nombre:</t>
  </si>
  <si>
    <t>Direccion:</t>
  </si>
  <si>
    <t>Localidad:</t>
  </si>
  <si>
    <t>DESCRIPCION</t>
  </si>
  <si>
    <t>PRECIO UNIT</t>
  </si>
  <si>
    <t>TOTAL ARTICULOS</t>
  </si>
  <si>
    <t>CANT</t>
  </si>
  <si>
    <t>Ingrese % de ganancia deseado</t>
  </si>
  <si>
    <t>Ingrese el precio de costo</t>
  </si>
  <si>
    <t>CANT.</t>
  </si>
  <si>
    <t>TOTAL COMPRA**</t>
  </si>
  <si>
    <t>PRECIO COMPRA**</t>
  </si>
  <si>
    <t>ZANAHORIA x KILO</t>
  </si>
  <si>
    <t>CHOCLO x UNIDAD</t>
  </si>
  <si>
    <t>PAPA x KILO</t>
  </si>
  <si>
    <t>ALBERKA x KILO</t>
  </si>
  <si>
    <t>0007</t>
  </si>
  <si>
    <t>COMPRA</t>
  </si>
  <si>
    <t>COMPRA x KILO</t>
  </si>
  <si>
    <t>0008</t>
  </si>
  <si>
    <t>0009</t>
  </si>
  <si>
    <t>0010</t>
  </si>
  <si>
    <t>VENTA</t>
  </si>
  <si>
    <t>VENTA x KILO</t>
  </si>
  <si>
    <t>Fabritcio Collanco</t>
  </si>
  <si>
    <t>Av. Melchorita 1186-A</t>
  </si>
  <si>
    <t>Grocio Prado</t>
  </si>
  <si>
    <t>DNI: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</si>
</sst>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(* #,##0.00_);_(* \(#,##0.00\);_(* &quot;-&quot;??_);_(@_)"/>
    <numFmt numFmtId="165" formatCode="_(&quot;$&quot;\ * #,##0.00_);_(&quot;$&quot;\ * \(#,##0.00\);_(&quot;$&quot;\ * &quot;-&quot;??_);_(@_)"/>
    <numFmt numFmtId="166" formatCode="_(* #,##0_);_(* \(#,##0\);_(* &quot;-&quot;??_);_(@_)"/>
    <numFmt numFmtId="167" formatCode="dd/mm/yyyy;@"/>
    <numFmt numFmtId="168" formatCode="m/d/yy"/>
    <numFmt numFmtId="169" formatCode="dd\-mm\-yy;@"/>
    <numFmt numFmtId="170" formatCode="_-[$S/-280A]\ * #,##0.00_-;\-[$S/-280A]\ * #,##0.00_-;_-[$S/-280A]\ * &quot;-&quot;??_-;_-@_-"/>
  </numFmts>
  <fonts count="15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Helvetica Neue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26"/>
      <color theme="0"/>
      <name val="Arial"/>
      <family val="2"/>
    </font>
    <font>
      <sz val="48"/>
      <color theme="1"/>
      <name val="Arial"/>
      <family val="2"/>
    </font>
    <font>
      <sz val="12"/>
      <color rgb="FFFF0000"/>
      <name val="Calibri"/>
      <family val="2"/>
      <scheme val="minor"/>
    </font>
    <font>
      <sz val="10"/>
      <color theme="1"/>
      <name val="Arial"/>
    </font>
  </fonts>
  <fills count="9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29">
    <xf numFmtId="0" fontId="0" fillId="0" borderId="0" xfId="0"/>
    <xf numFmtId="0" fontId="5" fillId="0" borderId="0" xfId="0" applyFont="1"/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8" xfId="0" applyBorder="1"/>
    <xf numFmtId="0" fontId="0" fillId="0" borderId="2" xfId="0" applyBorder="1"/>
    <xf numFmtId="165" fontId="2" fillId="0" borderId="2" xfId="2" applyFont="1" applyBorder="1"/>
    <xf numFmtId="0" fontId="0" fillId="0" borderId="8" xfId="0" quotePrefix="1" applyBorder="1"/>
    <xf numFmtId="0" fontId="0" fillId="0" borderId="2" xfId="0" applyBorder="1" applyAlignment="1">
      <alignment horizontal="right"/>
    </xf>
    <xf numFmtId="14" fontId="0" fillId="0" borderId="0" xfId="0" applyNumberFormat="1"/>
    <xf numFmtId="0" fontId="6" fillId="0" borderId="0" xfId="0" applyFont="1"/>
    <xf numFmtId="0" fontId="7" fillId="0" borderId="0" xfId="0" applyFont="1"/>
    <xf numFmtId="0" fontId="7" fillId="0" borderId="2" xfId="0" applyFont="1" applyBorder="1" applyAlignment="1" applyProtection="1">
      <alignment horizontal="left" vertical="center"/>
      <protection hidden="1"/>
    </xf>
    <xf numFmtId="0" fontId="7" fillId="0" borderId="2" xfId="0" applyFont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hidden="1"/>
    </xf>
    <xf numFmtId="0" fontId="7" fillId="0" borderId="0" xfId="0" applyFont="1" applyAlignment="1" applyProtection="1">
      <alignment horizontal="left" vertical="center"/>
      <protection locked="0"/>
    </xf>
    <xf numFmtId="166" fontId="7" fillId="0" borderId="0" xfId="1" applyNumberFormat="1" applyFont="1" applyFill="1" applyAlignment="1" applyProtection="1">
      <alignment horizontal="left" vertical="center"/>
      <protection hidden="1"/>
    </xf>
    <xf numFmtId="0" fontId="7" fillId="0" borderId="10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/>
    </xf>
    <xf numFmtId="9" fontId="7" fillId="0" borderId="9" xfId="0" applyNumberFormat="1" applyFont="1" applyBorder="1" applyAlignment="1">
      <alignment horizontal="right" vertical="center"/>
    </xf>
    <xf numFmtId="0" fontId="7" fillId="0" borderId="0" xfId="0" applyFont="1" applyProtection="1">
      <protection locked="0"/>
    </xf>
    <xf numFmtId="49" fontId="7" fillId="0" borderId="2" xfId="0" applyNumberFormat="1" applyFont="1" applyBorder="1" applyAlignment="1" applyProtection="1">
      <alignment horizontal="left" vertical="center"/>
      <protection locked="0"/>
    </xf>
    <xf numFmtId="14" fontId="7" fillId="0" borderId="0" xfId="0" applyNumberFormat="1" applyFont="1" applyProtection="1">
      <protection locked="0"/>
    </xf>
    <xf numFmtId="168" fontId="7" fillId="0" borderId="0" xfId="0" applyNumberFormat="1" applyFont="1" applyProtection="1"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14" fontId="7" fillId="2" borderId="4" xfId="0" applyNumberFormat="1" applyFont="1" applyFill="1" applyBorder="1" applyAlignment="1" applyProtection="1">
      <alignment vertical="center" wrapText="1"/>
      <protection locked="0"/>
    </xf>
    <xf numFmtId="0" fontId="7" fillId="2" borderId="4" xfId="0" applyFont="1" applyFill="1" applyBorder="1" applyAlignment="1" applyProtection="1">
      <alignment vertical="center" wrapText="1"/>
      <protection locked="0"/>
    </xf>
    <xf numFmtId="0" fontId="7" fillId="2" borderId="1" xfId="0" applyFont="1" applyFill="1" applyBorder="1" applyAlignment="1" applyProtection="1">
      <alignment vertical="center" wrapText="1"/>
      <protection locked="0"/>
    </xf>
    <xf numFmtId="0" fontId="7" fillId="2" borderId="3" xfId="0" applyFont="1" applyFill="1" applyBorder="1" applyAlignment="1" applyProtection="1">
      <alignment vertical="center" wrapText="1"/>
      <protection locked="0"/>
    </xf>
    <xf numFmtId="14" fontId="7" fillId="0" borderId="0" xfId="0" applyNumberFormat="1" applyFont="1" applyProtection="1">
      <protection hidden="1"/>
    </xf>
    <xf numFmtId="0" fontId="7" fillId="0" borderId="0" xfId="0" applyFont="1" applyProtection="1">
      <protection hidden="1"/>
    </xf>
    <xf numFmtId="165" fontId="7" fillId="0" borderId="0" xfId="2" applyFont="1" applyProtection="1">
      <protection hidden="1"/>
    </xf>
    <xf numFmtId="165" fontId="7" fillId="0" borderId="0" xfId="0" applyNumberFormat="1" applyFont="1" applyProtection="1">
      <protection hidden="1"/>
    </xf>
    <xf numFmtId="0" fontId="7" fillId="0" borderId="0" xfId="0" applyFont="1" applyAlignment="1" applyProtection="1">
      <alignment vertical="top"/>
      <protection locked="0"/>
    </xf>
    <xf numFmtId="0" fontId="7" fillId="0" borderId="0" xfId="0" applyFont="1" applyAlignment="1" applyProtection="1">
      <alignment horizontal="left"/>
      <protection locked="0"/>
    </xf>
    <xf numFmtId="0" fontId="7" fillId="0" borderId="0" xfId="0" applyFont="1" applyAlignment="1" applyProtection="1">
      <alignment horizontal="left"/>
      <protection hidden="1"/>
    </xf>
    <xf numFmtId="0" fontId="7" fillId="0" borderId="0" xfId="0" applyFont="1" applyAlignment="1" applyProtection="1">
      <alignment horizontal="right"/>
      <protection hidden="1"/>
    </xf>
    <xf numFmtId="14" fontId="7" fillId="0" borderId="0" xfId="0" applyNumberFormat="1" applyFont="1" applyAlignment="1" applyProtection="1">
      <alignment horizontal="left"/>
      <protection hidden="1"/>
    </xf>
    <xf numFmtId="167" fontId="7" fillId="0" borderId="2" xfId="0" applyNumberFormat="1" applyFont="1" applyBorder="1" applyAlignment="1" applyProtection="1">
      <alignment horizontal="left" vertical="center"/>
      <protection hidden="1"/>
    </xf>
    <xf numFmtId="0" fontId="0" fillId="5" borderId="0" xfId="0" applyFill="1"/>
    <xf numFmtId="165" fontId="2" fillId="5" borderId="2" xfId="2" applyFont="1" applyFill="1" applyBorder="1"/>
    <xf numFmtId="166" fontId="7" fillId="6" borderId="2" xfId="1" applyNumberFormat="1" applyFont="1" applyFill="1" applyBorder="1" applyAlignment="1" applyProtection="1">
      <alignment horizontal="left" vertical="center"/>
      <protection hidden="1"/>
    </xf>
    <xf numFmtId="166" fontId="7" fillId="6" borderId="6" xfId="1" applyNumberFormat="1" applyFont="1" applyFill="1" applyBorder="1" applyAlignment="1" applyProtection="1">
      <alignment horizontal="left" vertical="center"/>
      <protection hidden="1"/>
    </xf>
    <xf numFmtId="166" fontId="7" fillId="6" borderId="7" xfId="1" applyNumberFormat="1" applyFont="1" applyFill="1" applyBorder="1" applyAlignment="1" applyProtection="1">
      <alignment horizontal="left" vertical="center"/>
      <protection hidden="1"/>
    </xf>
    <xf numFmtId="0" fontId="7" fillId="6" borderId="2" xfId="0" applyFont="1" applyFill="1" applyBorder="1" applyAlignment="1" applyProtection="1">
      <alignment horizontal="left" vertical="center"/>
      <protection hidden="1"/>
    </xf>
    <xf numFmtId="0" fontId="7" fillId="6" borderId="2" xfId="0" applyFont="1" applyFill="1" applyBorder="1" applyAlignment="1" applyProtection="1">
      <alignment horizontal="left" vertical="center"/>
      <protection locked="0"/>
    </xf>
    <xf numFmtId="165" fontId="7" fillId="6" borderId="2" xfId="2" applyFont="1" applyFill="1" applyBorder="1" applyAlignment="1" applyProtection="1">
      <alignment horizontal="left" vertical="center"/>
      <protection hidden="1"/>
    </xf>
    <xf numFmtId="0" fontId="7" fillId="2" borderId="1" xfId="0" applyFont="1" applyFill="1" applyBorder="1" applyAlignment="1" applyProtection="1">
      <alignment horizontal="left" vertical="center" wrapText="1"/>
      <protection hidden="1"/>
    </xf>
    <xf numFmtId="0" fontId="7" fillId="2" borderId="1" xfId="0" applyFont="1" applyFill="1" applyBorder="1" applyAlignment="1" applyProtection="1">
      <alignment horizontal="center" vertical="center" wrapText="1"/>
      <protection hidden="1"/>
    </xf>
    <xf numFmtId="0" fontId="7" fillId="2" borderId="3" xfId="0" applyFont="1" applyFill="1" applyBorder="1" applyAlignment="1" applyProtection="1">
      <alignment horizontal="center" vertical="center" wrapText="1"/>
      <protection locked="0"/>
    </xf>
    <xf numFmtId="168" fontId="7" fillId="2" borderId="4" xfId="0" applyNumberFormat="1" applyFont="1" applyFill="1" applyBorder="1" applyAlignment="1" applyProtection="1">
      <alignment horizontal="left" vertical="center" wrapText="1"/>
      <protection hidden="1"/>
    </xf>
    <xf numFmtId="0" fontId="4" fillId="4" borderId="0" xfId="3" applyFill="1" applyAlignment="1"/>
    <xf numFmtId="0" fontId="0" fillId="4" borderId="0" xfId="0" applyFill="1"/>
    <xf numFmtId="0" fontId="4" fillId="4" borderId="0" xfId="3" applyFill="1" applyAlignment="1">
      <alignment horizontal="center"/>
    </xf>
    <xf numFmtId="0" fontId="0" fillId="4" borderId="0" xfId="0" applyFill="1" applyAlignment="1">
      <alignment vertical="center"/>
    </xf>
    <xf numFmtId="0" fontId="13" fillId="4" borderId="0" xfId="0" applyFont="1" applyFill="1" applyAlignment="1"/>
    <xf numFmtId="0" fontId="13" fillId="4" borderId="0" xfId="0" applyFont="1" applyFill="1"/>
    <xf numFmtId="0" fontId="9" fillId="7" borderId="2" xfId="0" applyFont="1" applyFill="1" applyBorder="1" applyAlignment="1" applyProtection="1">
      <alignment horizontal="left" vertical="center" wrapText="1"/>
      <protection locked="0" hidden="1"/>
    </xf>
    <xf numFmtId="0" fontId="9" fillId="7" borderId="2" xfId="0" applyFont="1" applyFill="1" applyBorder="1" applyAlignment="1" applyProtection="1">
      <alignment horizontal="left" vertical="center" wrapText="1"/>
      <protection locked="0"/>
    </xf>
    <xf numFmtId="166" fontId="9" fillId="7" borderId="2" xfId="1" applyNumberFormat="1" applyFont="1" applyFill="1" applyBorder="1" applyAlignment="1" applyProtection="1">
      <alignment horizontal="left" vertical="center"/>
      <protection locked="0" hidden="1"/>
    </xf>
    <xf numFmtId="166" fontId="9" fillId="7" borderId="7" xfId="1" applyNumberFormat="1" applyFont="1" applyFill="1" applyBorder="1" applyAlignment="1" applyProtection="1">
      <alignment horizontal="left" vertical="center" wrapText="1"/>
      <protection locked="0" hidden="1"/>
    </xf>
    <xf numFmtId="14" fontId="10" fillId="7" borderId="4" xfId="0" applyNumberFormat="1" applyFont="1" applyFill="1" applyBorder="1" applyAlignment="1" applyProtection="1">
      <alignment vertical="center" wrapText="1"/>
      <protection locked="0"/>
    </xf>
    <xf numFmtId="0" fontId="10" fillId="7" borderId="4" xfId="0" applyFont="1" applyFill="1" applyBorder="1" applyAlignment="1" applyProtection="1">
      <alignment vertical="center" wrapText="1"/>
      <protection locked="0"/>
    </xf>
    <xf numFmtId="0" fontId="10" fillId="7" borderId="1" xfId="0" applyFont="1" applyFill="1" applyBorder="1" applyAlignment="1" applyProtection="1">
      <alignment vertical="center" wrapText="1"/>
      <protection locked="0"/>
    </xf>
    <xf numFmtId="0" fontId="10" fillId="7" borderId="3" xfId="0" applyFont="1" applyFill="1" applyBorder="1" applyAlignment="1" applyProtection="1">
      <alignment vertical="center" wrapText="1"/>
      <protection locked="0"/>
    </xf>
    <xf numFmtId="14" fontId="10" fillId="7" borderId="4" xfId="0" applyNumberFormat="1" applyFont="1" applyFill="1" applyBorder="1" applyAlignment="1" applyProtection="1">
      <alignment horizontal="left" vertical="center" wrapText="1"/>
      <protection hidden="1"/>
    </xf>
    <xf numFmtId="0" fontId="10" fillId="7" borderId="1" xfId="0" applyFont="1" applyFill="1" applyBorder="1" applyAlignment="1" applyProtection="1">
      <alignment horizontal="left" vertical="center" wrapText="1"/>
      <protection hidden="1"/>
    </xf>
    <xf numFmtId="165" fontId="10" fillId="7" borderId="1" xfId="2" applyFont="1" applyFill="1" applyBorder="1" applyAlignment="1" applyProtection="1">
      <alignment horizontal="left" vertical="center" wrapText="1"/>
      <protection hidden="1"/>
    </xf>
    <xf numFmtId="0" fontId="10" fillId="7" borderId="3" xfId="0" applyFont="1" applyFill="1" applyBorder="1" applyAlignment="1" applyProtection="1">
      <alignment horizontal="left" vertical="center" wrapText="1"/>
      <protection hidden="1"/>
    </xf>
    <xf numFmtId="0" fontId="9" fillId="7" borderId="4" xfId="0" applyFont="1" applyFill="1" applyBorder="1" applyAlignment="1" applyProtection="1">
      <alignment horizontal="left" vertical="center" wrapText="1"/>
      <protection hidden="1"/>
    </xf>
    <xf numFmtId="0" fontId="9" fillId="7" borderId="1" xfId="0" applyFont="1" applyFill="1" applyBorder="1" applyAlignment="1" applyProtection="1">
      <alignment horizontal="left" vertical="center" wrapText="1"/>
      <protection hidden="1"/>
    </xf>
    <xf numFmtId="0" fontId="9" fillId="7" borderId="1" xfId="0" applyFont="1" applyFill="1" applyBorder="1" applyAlignment="1" applyProtection="1">
      <alignment horizontal="center" vertical="center" wrapText="1"/>
      <protection hidden="1"/>
    </xf>
    <xf numFmtId="0" fontId="9" fillId="7" borderId="3" xfId="0" applyFont="1" applyFill="1" applyBorder="1" applyAlignment="1" applyProtection="1">
      <alignment horizontal="center" vertical="center" wrapText="1"/>
      <protection locked="0"/>
    </xf>
    <xf numFmtId="170" fontId="7" fillId="0" borderId="0" xfId="4" applyNumberFormat="1" applyFont="1" applyFill="1" applyAlignment="1" applyProtection="1">
      <alignment horizontal="left" vertical="center"/>
      <protection locked="0"/>
    </xf>
    <xf numFmtId="170" fontId="9" fillId="7" borderId="2" xfId="4" applyNumberFormat="1" applyFont="1" applyFill="1" applyBorder="1" applyAlignment="1" applyProtection="1">
      <alignment horizontal="left" vertical="center" wrapText="1"/>
      <protection locked="0"/>
    </xf>
    <xf numFmtId="170" fontId="7" fillId="0" borderId="2" xfId="4" applyNumberFormat="1" applyFont="1" applyFill="1" applyBorder="1" applyAlignment="1" applyProtection="1">
      <alignment horizontal="left" vertical="center"/>
      <protection locked="0"/>
    </xf>
    <xf numFmtId="170" fontId="7" fillId="0" borderId="0" xfId="2" applyNumberFormat="1" applyFont="1" applyFill="1" applyAlignment="1" applyProtection="1">
      <alignment horizontal="left" vertical="center"/>
      <protection locked="0"/>
    </xf>
    <xf numFmtId="170" fontId="9" fillId="7" borderId="2" xfId="2" applyNumberFormat="1" applyFont="1" applyFill="1" applyBorder="1" applyAlignment="1" applyProtection="1">
      <alignment horizontal="left" vertical="center" wrapText="1"/>
      <protection locked="0"/>
    </xf>
    <xf numFmtId="170" fontId="7" fillId="0" borderId="2" xfId="2" applyNumberFormat="1" applyFont="1" applyFill="1" applyBorder="1" applyAlignment="1" applyProtection="1">
      <alignment horizontal="left" vertical="center"/>
      <protection locked="0"/>
    </xf>
    <xf numFmtId="43" fontId="7" fillId="0" borderId="0" xfId="0" applyNumberFormat="1" applyFont="1" applyProtection="1">
      <protection hidden="1"/>
    </xf>
    <xf numFmtId="170" fontId="7" fillId="0" borderId="0" xfId="0" applyNumberFormat="1" applyFont="1" applyAlignment="1">
      <alignment horizontal="left" vertical="center"/>
    </xf>
    <xf numFmtId="170" fontId="7" fillId="7" borderId="2" xfId="2" applyNumberFormat="1" applyFont="1" applyFill="1" applyBorder="1" applyAlignment="1" applyProtection="1">
      <alignment horizontal="left" vertical="center"/>
      <protection locked="0"/>
    </xf>
    <xf numFmtId="170" fontId="7" fillId="6" borderId="2" xfId="2" applyNumberFormat="1" applyFont="1" applyFill="1" applyBorder="1" applyAlignment="1" applyProtection="1">
      <alignment horizontal="left" vertical="center"/>
      <protection locked="0"/>
    </xf>
    <xf numFmtId="0" fontId="7" fillId="0" borderId="6" xfId="0" applyNumberFormat="1" applyFont="1" applyFill="1" applyBorder="1" applyAlignment="1" applyProtection="1">
      <alignment horizontal="left" vertical="center"/>
      <protection hidden="1"/>
    </xf>
    <xf numFmtId="0" fontId="7" fillId="0" borderId="6" xfId="0" applyFont="1" applyFill="1" applyBorder="1" applyAlignment="1" applyProtection="1">
      <alignment horizontal="left" vertical="center"/>
      <protection locked="0"/>
    </xf>
    <xf numFmtId="170" fontId="7" fillId="0" borderId="6" xfId="4" applyNumberFormat="1" applyFont="1" applyFill="1" applyBorder="1" applyAlignment="1" applyProtection="1">
      <alignment horizontal="left" vertical="center"/>
      <protection locked="0"/>
    </xf>
    <xf numFmtId="170" fontId="7" fillId="0" borderId="6" xfId="2" applyNumberFormat="1" applyFont="1" applyFill="1" applyBorder="1" applyAlignment="1" applyProtection="1">
      <alignment horizontal="left" vertical="center"/>
      <protection locked="0"/>
    </xf>
    <xf numFmtId="170" fontId="7" fillId="6" borderId="6" xfId="2" applyNumberFormat="1" applyFont="1" applyFill="1" applyBorder="1" applyAlignment="1" applyProtection="1">
      <alignment horizontal="left" vertical="center"/>
      <protection locked="0"/>
    </xf>
    <xf numFmtId="14" fontId="7" fillId="2" borderId="0" xfId="0" applyNumberFormat="1" applyFont="1" applyFill="1" applyBorder="1" applyAlignment="1" applyProtection="1">
      <alignment horizontal="left" vertical="center" wrapText="1"/>
      <protection hidden="1"/>
    </xf>
    <xf numFmtId="0" fontId="7" fillId="2" borderId="0" xfId="0" applyFont="1" applyFill="1" applyBorder="1" applyAlignment="1" applyProtection="1">
      <alignment horizontal="left" vertical="center" wrapText="1"/>
      <protection hidden="1"/>
    </xf>
    <xf numFmtId="165" fontId="7" fillId="2" borderId="0" xfId="2" applyFont="1" applyFill="1" applyBorder="1" applyAlignment="1" applyProtection="1">
      <alignment horizontal="left" vertical="center" wrapText="1"/>
      <protection hidden="1"/>
    </xf>
    <xf numFmtId="43" fontId="7" fillId="2" borderId="0" xfId="0" applyNumberFormat="1" applyFont="1" applyFill="1" applyBorder="1" applyAlignment="1" applyProtection="1">
      <alignment horizontal="left" vertical="center" wrapText="1"/>
      <protection hidden="1"/>
    </xf>
    <xf numFmtId="170" fontId="7" fillId="0" borderId="0" xfId="0" applyNumberFormat="1" applyFont="1" applyProtection="1">
      <protection locked="0"/>
    </xf>
    <xf numFmtId="170" fontId="10" fillId="7" borderId="1" xfId="0" applyNumberFormat="1" applyFont="1" applyFill="1" applyBorder="1" applyAlignment="1" applyProtection="1">
      <alignment vertical="center" wrapText="1"/>
      <protection locked="0"/>
    </xf>
    <xf numFmtId="170" fontId="7" fillId="2" borderId="1" xfId="2" applyNumberFormat="1" applyFont="1" applyFill="1" applyBorder="1" applyAlignment="1" applyProtection="1">
      <alignment vertical="center" wrapText="1"/>
      <protection locked="0"/>
    </xf>
    <xf numFmtId="170" fontId="10" fillId="7" borderId="3" xfId="0" applyNumberFormat="1" applyFont="1" applyFill="1" applyBorder="1" applyAlignment="1" applyProtection="1">
      <alignment vertical="center" wrapText="1"/>
      <protection locked="0"/>
    </xf>
    <xf numFmtId="170" fontId="7" fillId="2" borderId="3" xfId="2" applyNumberFormat="1" applyFont="1" applyFill="1" applyBorder="1" applyAlignment="1" applyProtection="1">
      <alignment vertical="center" wrapText="1"/>
      <protection locked="0"/>
    </xf>
    <xf numFmtId="170" fontId="7" fillId="0" borderId="0" xfId="0" applyNumberFormat="1" applyFont="1" applyAlignment="1" applyProtection="1">
      <alignment horizontal="right"/>
      <protection hidden="1"/>
    </xf>
    <xf numFmtId="170" fontId="9" fillId="7" borderId="1" xfId="0" applyNumberFormat="1" applyFont="1" applyFill="1" applyBorder="1" applyAlignment="1" applyProtection="1">
      <alignment horizontal="left" vertical="center" wrapText="1"/>
      <protection hidden="1"/>
    </xf>
    <xf numFmtId="170" fontId="7" fillId="2" borderId="1" xfId="0" applyNumberFormat="1" applyFont="1" applyFill="1" applyBorder="1" applyAlignment="1" applyProtection="1">
      <alignment horizontal="left" vertical="center" wrapText="1"/>
      <protection hidden="1"/>
    </xf>
    <xf numFmtId="170" fontId="7" fillId="0" borderId="0" xfId="0" applyNumberFormat="1" applyFont="1"/>
    <xf numFmtId="170" fontId="0" fillId="0" borderId="0" xfId="0" applyNumberFormat="1"/>
    <xf numFmtId="170" fontId="7" fillId="0" borderId="9" xfId="2" applyNumberFormat="1" applyFont="1" applyBorder="1" applyAlignment="1">
      <alignment horizontal="left" vertical="center"/>
    </xf>
    <xf numFmtId="170" fontId="7" fillId="6" borderId="9" xfId="2" applyNumberFormat="1" applyFont="1" applyFill="1" applyBorder="1" applyAlignment="1">
      <alignment horizontal="left" vertical="center"/>
    </xf>
    <xf numFmtId="170" fontId="7" fillId="0" borderId="0" xfId="0" applyNumberFormat="1" applyFont="1" applyProtection="1">
      <protection hidden="1"/>
    </xf>
    <xf numFmtId="0" fontId="14" fillId="0" borderId="0" xfId="0" applyFont="1" applyAlignment="1">
      <alignment horizontal="left"/>
    </xf>
    <xf numFmtId="170" fontId="14" fillId="0" borderId="0" xfId="0" applyNumberFormat="1" applyFont="1"/>
    <xf numFmtId="0" fontId="14" fillId="0" borderId="2" xfId="0" pivotButton="1" applyFont="1" applyBorder="1" applyAlignment="1">
      <alignment horizontal="center" vertical="center"/>
    </xf>
    <xf numFmtId="0" fontId="14" fillId="0" borderId="0" xfId="0" pivotButton="1" applyFont="1" applyAlignment="1">
      <alignment vertical="center"/>
    </xf>
    <xf numFmtId="170" fontId="14" fillId="0" borderId="2" xfId="0" applyNumberFormat="1" applyFont="1" applyBorder="1" applyAlignment="1">
      <alignment horizontal="center" vertical="center" wrapText="1"/>
    </xf>
    <xf numFmtId="170" fontId="14" fillId="0" borderId="0" xfId="0" applyNumberFormat="1" applyFont="1" applyAlignment="1">
      <alignment vertical="center"/>
    </xf>
    <xf numFmtId="0" fontId="14" fillId="0" borderId="0" xfId="0" applyFont="1" applyAlignment="1" applyProtection="1">
      <alignment horizontal="left"/>
      <protection hidden="1"/>
    </xf>
    <xf numFmtId="170" fontId="14" fillId="0" borderId="0" xfId="0" applyNumberFormat="1" applyFont="1" applyProtection="1">
      <protection hidden="1"/>
    </xf>
    <xf numFmtId="0" fontId="14" fillId="0" borderId="2" xfId="0" pivotButton="1" applyFont="1" applyBorder="1" applyAlignment="1" applyProtection="1">
      <alignment vertical="center" wrapText="1"/>
      <protection hidden="1"/>
    </xf>
    <xf numFmtId="0" fontId="14" fillId="0" borderId="0" xfId="0" pivotButton="1" applyFont="1" applyAlignment="1" applyProtection="1">
      <alignment vertical="center"/>
      <protection hidden="1"/>
    </xf>
    <xf numFmtId="170" fontId="14" fillId="0" borderId="2" xfId="0" applyNumberFormat="1" applyFont="1" applyBorder="1" applyAlignment="1" applyProtection="1">
      <alignment vertical="center" wrapText="1"/>
      <protection hidden="1"/>
    </xf>
    <xf numFmtId="170" fontId="14" fillId="0" borderId="2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Alignment="1" applyProtection="1">
      <alignment vertical="center"/>
      <protection hidden="1"/>
    </xf>
    <xf numFmtId="169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8" fillId="0" borderId="9" xfId="0" applyFont="1" applyBorder="1" applyAlignment="1">
      <alignment horizontal="left" vertical="center"/>
    </xf>
    <xf numFmtId="0" fontId="8" fillId="0" borderId="0" xfId="0" applyFont="1" applyAlignment="1" applyProtection="1">
      <alignment horizontal="right"/>
      <protection locked="0"/>
    </xf>
    <xf numFmtId="0" fontId="8" fillId="0" borderId="5" xfId="0" applyFont="1" applyBorder="1" applyAlignment="1" applyProtection="1">
      <alignment horizontal="right"/>
      <protection locked="0"/>
    </xf>
    <xf numFmtId="165" fontId="12" fillId="8" borderId="2" xfId="2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</cellXfs>
  <cellStyles count="5">
    <cellStyle name="Hipervínculo" xfId="3" builtinId="8"/>
    <cellStyle name="Millares" xfId="1" builtinId="3"/>
    <cellStyle name="Moneda" xfId="2" builtinId="4"/>
    <cellStyle name="Normal" xfId="0" builtinId="0"/>
    <cellStyle name="Porcentaje" xfId="4" builtinId="5"/>
  </cellStyles>
  <dxfs count="125">
    <dxf>
      <numFmt numFmtId="170" formatCode="_-[$S/-280A]\ * #,##0.00_-;\-[$S/-280A]\ * #,##0.00_-;_-[$S/-280A]\ * &quot;-&quot;??_-;_-@_-"/>
    </dxf>
    <dxf>
      <numFmt numFmtId="170" formatCode="_-[$S/-280A]\ * #,##0.00_-;\-[$S/-280A]\ * #,##0.00_-;_-[$S/-280A]\ * &quot;-&quot;??_-;_-@_-"/>
    </dxf>
    <dxf>
      <numFmt numFmtId="170" formatCode="_-[$S/-280A]\ * #,##0.00_-;\-[$S/-280A]\ * #,##0.00_-;_-[$S/-280A]\ * &quot;-&quot;??_-;_-@_-"/>
    </dxf>
    <dxf>
      <numFmt numFmtId="170" formatCode="_-[$S/-280A]\ * #,##0.00_-;\-[$S/-280A]\ * #,##0.00_-;_-[$S/-280A]\ * &quot;-&quot;??_-;_-@_-"/>
    </dxf>
    <dxf>
      <numFmt numFmtId="170" formatCode="_-[$S/-280A]\ * #,##0.00_-;\-[$S/-280A]\ * #,##0.00_-;_-[$S/-280A]\ * &quot;-&quot;??_-;_-@_-"/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70" formatCode="_-[$S/-280A]\ * #,##0.00_-;\-[$S/-280A]\ * #,##0.00_-;_-[$S/-280A]\ * &quot;-&quot;??_-;_-@_-"/>
    </dxf>
    <dxf>
      <numFmt numFmtId="170" formatCode="_-[$S/-280A]\ * #,##0.00_-;\-[$S/-280A]\ * #,##0.00_-;_-[$S/-280A]\ * &quot;-&quot;??_-;_-@_-"/>
    </dxf>
    <dxf>
      <numFmt numFmtId="170" formatCode="_-[$S/-280A]\ * #,##0.00_-;\-[$S/-280A]\ * #,##0.00_-;_-[$S/-280A]\ * &quot;-&quot;??_-;_-@_-"/>
    </dxf>
    <dxf>
      <numFmt numFmtId="170" formatCode="_-[$S/-280A]\ * #,##0.00_-;\-[$S/-280A]\ * #,##0.00_-;_-[$S/-280A]\ * &quot;-&quot;??_-;_-@_-"/>
    </dxf>
    <dxf>
      <numFmt numFmtId="170" formatCode="_-[$S/-280A]\ * #,##0.00_-;\-[$S/-280A]\ * #,##0.00_-;_-[$S/-280A]\ * &quot;-&quot;??_-;_-@_-"/>
    </dxf>
    <dxf>
      <numFmt numFmtId="170" formatCode="_-[$S/-280A]\ * #,##0.00_-;\-[$S/-280A]\ * #,##0.00_-;_-[$S/-280A]\ * &quot;-&quot;??_-;_-@_-"/>
    </dxf>
    <dxf>
      <numFmt numFmtId="170" formatCode="_-[$S/-280A]\ * #,##0.00_-;\-[$S/-280A]\ * #,##0.00_-;_-[$S/-280A]\ * &quot;-&quot;??_-;_-@_-"/>
    </dxf>
    <dxf>
      <numFmt numFmtId="170" formatCode="_-[$S/-280A]\ * #,##0.00_-;\-[$S/-280A]\ * #,##0.00_-;_-[$S/-280A]\ * &quot;-&quot;??_-;_-@_-"/>
    </dxf>
    <dxf>
      <numFmt numFmtId="170" formatCode="_-[$S/-280A]\ * #,##0.00_-;\-[$S/-280A]\ * #,##0.00_-;_-[$S/-280A]\ * &quot;-&quot;??_-;_-@_-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vertical="center"/>
    </dxf>
    <dxf>
      <alignment wrapText="1"/>
    </dxf>
    <dxf>
      <alignment wrapText="1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4" tint="0.79995117038483843"/>
        </patternFill>
      </fill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0" formatCode="_-[$S/-280A]\ * #,##0.00_-;\-[$S/-280A]\ * #,##0.00_-;_-[$S/-280A]\ * &quot;-&quot;??_-;_-@_-"/>
      <fill>
        <patternFill patternType="solid">
          <fgColor indexed="64"/>
          <bgColor theme="4" tint="0.79995117038483843"/>
        </patternFill>
      </fill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4" tint="0.79995117038483843"/>
        </patternFill>
      </fill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4" tint="0.79995117038483843"/>
        </patternFill>
      </fill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4" tint="0.79995117038483843"/>
        </patternFill>
      </fill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4" tint="0.79995117038483843"/>
        </patternFill>
      </fill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4" tint="0.79995117038483843"/>
        </patternFill>
      </fill>
      <alignment horizontal="left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m/d/yy"/>
      <fill>
        <patternFill patternType="solid">
          <fgColor indexed="64"/>
          <bgColor theme="4" tint="0.79995117038483843"/>
        </patternFill>
      </fill>
      <alignment horizontal="left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4" tint="0.79995117038483843"/>
        </patternFill>
      </fill>
      <alignment horizontal="left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_(&quot;$&quot;\ * #,##0.00_);_(&quot;$&quot;\ * \(#,##0.00\);_(&quot;$&quot;\ * &quot;-&quot;??_);_(@_)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d/m/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protection locked="1" hidden="1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4" tint="0.7999511703848384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0" formatCode="_-[$S/-280A]\ * #,##0.00_-;\-[$S/-280A]\ * #,##0.00_-;_-[$S/-280A]\ * &quot;-&quot;??_-;_-@_-"/>
      <fill>
        <patternFill patternType="solid">
          <fgColor indexed="64"/>
          <bgColor theme="4" tint="0.7999511703848384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0" formatCode="_-[$S/-280A]\ * #,##0.00_-;\-[$S/-280A]\ * #,##0.00_-;_-[$S/-280A]\ * &quot;-&quot;??_-;_-@_-"/>
      <fill>
        <patternFill patternType="solid">
          <fgColor indexed="64"/>
          <bgColor theme="4" tint="0.7999511703848384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0" formatCode="_-[$S/-280A]\ * #,##0.00_-;\-[$S/-280A]\ * #,##0.00_-;_-[$S/-280A]\ * &quot;-&quot;??_-;_-@_-"/>
      <fill>
        <patternFill patternType="solid">
          <fgColor indexed="64"/>
          <bgColor theme="4" tint="0.7999511703848384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0" formatCode="_-[$S/-280A]\ * #,##0.00_-;\-[$S/-280A]\ * #,##0.00_-;_-[$S/-280A]\ * &quot;-&quot;??_-;_-@_-"/>
      <fill>
        <patternFill patternType="solid">
          <fgColor indexed="64"/>
          <bgColor theme="4" tint="0.7999511703848384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4" tint="0.7999511703848384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4" tint="0.7999511703848384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4" tint="0.7999511703848384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d/m/yy"/>
      <fill>
        <patternFill patternType="solid">
          <fgColor indexed="64"/>
          <bgColor theme="4" tint="0.7999511703848384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d/m/yy"/>
      <fill>
        <patternFill patternType="solid">
          <fgColor indexed="64"/>
          <bgColor theme="4" tint="0.7999511703848384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4" tint="0.79995117038483843"/>
        </patternFill>
      </fill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0" formatCode="_-[$S/-280A]\ * #,##0.00_-;\-[$S/-280A]\ * #,##0.00_-;_-[$S/-280A]\ * &quot;-&quot;??_-;_-@_-"/>
      <fill>
        <patternFill patternType="solid">
          <fgColor indexed="64"/>
          <bgColor theme="7" tint="0.39997558519241921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_(* #,##0_);_(* \(#,##0\);_(* &quot;-&quot;??_);_(@_)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0" formatCode="_-[$S/-280A]\ * #,##0.00_-;\-[$S/-280A]\ * #,##0.00_-;_-[$S/-280A]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0" formatCode="_-[$S/-280A]\ * #,##0.00_-;\-[$S/-280A]\ * #,##0.00_-;_-[$S/-280A]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1"/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indent="0" justifyLastLine="0" shrinkToFit="0" readingOrder="0"/>
      <protection locked="0" hidden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solid">
          <fgColor indexed="64"/>
          <bgColor theme="1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family val="2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23CD43"/>
      <color rgb="FF4B85D4"/>
      <color rgb="FF36E0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1/relationships/timelineCache" Target="timelineCaches/timelineCache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844549</xdr:colOff>
      <xdr:row>6</xdr:row>
      <xdr:rowOff>161925</xdr:rowOff>
    </xdr:from>
    <xdr:to>
      <xdr:col>8</xdr:col>
      <xdr:colOff>247650</xdr:colOff>
      <xdr:row>8</xdr:row>
      <xdr:rowOff>158750</xdr:rowOff>
    </xdr:to>
    <xdr:sp macro="" textlink="">
      <xdr:nvSpPr>
        <xdr:cNvPr id="2" name="Redondear rectángulo de esquina diagon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44549" y="1343025"/>
          <a:ext cx="6699251" cy="390525"/>
        </a:xfrm>
        <a:prstGeom prst="round2Diag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400" b="1" i="1"/>
            <a:t>GESTION</a:t>
          </a:r>
          <a:r>
            <a:rPr lang="es-ES_tradnl" sz="2400" b="1" i="1" baseline="0"/>
            <a:t> DE VENTAS - COMPRAS</a:t>
          </a:r>
        </a:p>
      </xdr:txBody>
    </xdr:sp>
    <xdr:clientData/>
  </xdr:twoCellAnchor>
  <xdr:twoCellAnchor>
    <xdr:from>
      <xdr:col>1</xdr:col>
      <xdr:colOff>25400</xdr:colOff>
      <xdr:row>9</xdr:row>
      <xdr:rowOff>165053</xdr:rowOff>
    </xdr:from>
    <xdr:to>
      <xdr:col>4</xdr:col>
      <xdr:colOff>142429</xdr:colOff>
      <xdr:row>13</xdr:row>
      <xdr:rowOff>149049</xdr:rowOff>
    </xdr:to>
    <xdr:sp macro="[0]!BOTON_PRODUCTOS" textlink="">
      <xdr:nvSpPr>
        <xdr:cNvPr id="4" name="Redondear rectángulo de esquina diagon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76300" y="1936703"/>
          <a:ext cx="3158679" cy="771396"/>
        </a:xfrm>
        <a:prstGeom prst="round2Diag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600"/>
            <a:t>PRODUCTOS</a:t>
          </a:r>
          <a:endParaRPr lang="es-ES_tradnl" sz="1100"/>
        </a:p>
        <a:p>
          <a:pPr algn="l"/>
          <a:r>
            <a:rPr lang="es-ES_tradnl" sz="1100"/>
            <a:t>INGRESO</a:t>
          </a:r>
          <a:r>
            <a:rPr lang="es-ES_tradnl" sz="1100" baseline="0"/>
            <a:t> DE PRODUCTOS.</a:t>
          </a:r>
          <a:endParaRPr lang="es-ES_tradnl" sz="1100"/>
        </a:p>
      </xdr:txBody>
    </xdr:sp>
    <xdr:clientData/>
  </xdr:twoCellAnchor>
  <xdr:twoCellAnchor>
    <xdr:from>
      <xdr:col>3</xdr:col>
      <xdr:colOff>57782</xdr:colOff>
      <xdr:row>9</xdr:row>
      <xdr:rowOff>184150</xdr:rowOff>
    </xdr:from>
    <xdr:to>
      <xdr:col>3</xdr:col>
      <xdr:colOff>779978</xdr:colOff>
      <xdr:row>13</xdr:row>
      <xdr:rowOff>118946</xdr:rowOff>
    </xdr:to>
    <xdr:pic macro="[0]!BOTON_PRODUCTOS">
      <xdr:nvPicPr>
        <xdr:cNvPr id="26" name="Imag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099432" y="1955800"/>
          <a:ext cx="722196" cy="722196"/>
        </a:xfrm>
        <a:prstGeom prst="rect">
          <a:avLst/>
        </a:prstGeom>
        <a:solidFill>
          <a:schemeClr val="tx1"/>
        </a:solidFill>
        <a:extLst/>
      </xdr:spPr>
    </xdr:pic>
    <xdr:clientData/>
  </xdr:twoCellAnchor>
  <xdr:twoCellAnchor>
    <xdr:from>
      <xdr:col>4</xdr:col>
      <xdr:colOff>463549</xdr:colOff>
      <xdr:row>9</xdr:row>
      <xdr:rowOff>177271</xdr:rowOff>
    </xdr:from>
    <xdr:to>
      <xdr:col>8</xdr:col>
      <xdr:colOff>228600</xdr:colOff>
      <xdr:row>13</xdr:row>
      <xdr:rowOff>152899</xdr:rowOff>
    </xdr:to>
    <xdr:sp macro="[0]!BOTON_MOVIMIENTOS" textlink="">
      <xdr:nvSpPr>
        <xdr:cNvPr id="53" name="Redondear rectángulo de esquina diagonal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4356099" y="1948921"/>
          <a:ext cx="3168651" cy="763028"/>
        </a:xfrm>
        <a:prstGeom prst="round2Diag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600"/>
            <a:t>MOVIMIENTOS</a:t>
          </a:r>
          <a:endParaRPr lang="es-ES_tradnl" sz="1100"/>
        </a:p>
        <a:p>
          <a:pPr algn="l"/>
          <a:r>
            <a:rPr lang="es-ES_tradnl" sz="1100"/>
            <a:t>INGRESO</a:t>
          </a:r>
          <a:r>
            <a:rPr lang="es-ES_tradnl" sz="1100" baseline="0"/>
            <a:t> DE MOVIMIENTOS </a:t>
          </a:r>
        </a:p>
        <a:p>
          <a:pPr algn="l"/>
          <a:r>
            <a:rPr lang="es-ES_tradnl" sz="1100" baseline="0"/>
            <a:t>DEL NEGOCIO</a:t>
          </a:r>
        </a:p>
        <a:p>
          <a:pPr algn="l"/>
          <a:endParaRPr lang="es-ES_tradnl" sz="1100"/>
        </a:p>
      </xdr:txBody>
    </xdr:sp>
    <xdr:clientData/>
  </xdr:twoCellAnchor>
  <xdr:twoCellAnchor>
    <xdr:from>
      <xdr:col>7</xdr:col>
      <xdr:colOff>184502</xdr:colOff>
      <xdr:row>10</xdr:row>
      <xdr:rowOff>0</xdr:rowOff>
    </xdr:from>
    <xdr:to>
      <xdr:col>8</xdr:col>
      <xdr:colOff>95250</xdr:colOff>
      <xdr:row>13</xdr:row>
      <xdr:rowOff>127000</xdr:rowOff>
    </xdr:to>
    <xdr:pic macro="[0]!BOTON_MOVIMIENTOS">
      <xdr:nvPicPr>
        <xdr:cNvPr id="54" name="Imagen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629752" y="1968500"/>
          <a:ext cx="761648" cy="717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422275</xdr:colOff>
      <xdr:row>14</xdr:row>
      <xdr:rowOff>59412</xdr:rowOff>
    </xdr:from>
    <xdr:to>
      <xdr:col>8</xdr:col>
      <xdr:colOff>213542</xdr:colOff>
      <xdr:row>18</xdr:row>
      <xdr:rowOff>91697</xdr:rowOff>
    </xdr:to>
    <xdr:sp macro="[0]!BOTON_REPORTE_COMPRAS" textlink="">
      <xdr:nvSpPr>
        <xdr:cNvPr id="87" name="Redondear rectángulo de esquina diagonal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4314825" y="2815312"/>
          <a:ext cx="3194867" cy="819685"/>
        </a:xfrm>
        <a:prstGeom prst="round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600"/>
            <a:t>REPORTE</a:t>
          </a:r>
          <a:r>
            <a:rPr lang="es-ES_tradnl" sz="1600" baseline="0"/>
            <a:t> COMPRAS</a:t>
          </a:r>
          <a:endParaRPr lang="es-ES_tradnl" sz="1100"/>
        </a:p>
        <a:p>
          <a:pPr algn="l"/>
          <a:r>
            <a:rPr lang="es-ES_tradnl" sz="1100"/>
            <a:t>INFORME</a:t>
          </a:r>
          <a:r>
            <a:rPr lang="es-ES_tradnl" sz="1100" baseline="0"/>
            <a:t> DE COMPRAS </a:t>
          </a:r>
        </a:p>
        <a:p>
          <a:pPr algn="l"/>
          <a:r>
            <a:rPr lang="es-ES_tradnl" sz="1100" baseline="0"/>
            <a:t>REALIZADAS</a:t>
          </a:r>
          <a:endParaRPr lang="es-ES_tradnl" sz="1100"/>
        </a:p>
      </xdr:txBody>
    </xdr:sp>
    <xdr:clientData/>
  </xdr:twoCellAnchor>
  <xdr:twoCellAnchor>
    <xdr:from>
      <xdr:col>7</xdr:col>
      <xdr:colOff>191570</xdr:colOff>
      <xdr:row>14</xdr:row>
      <xdr:rowOff>120651</xdr:rowOff>
    </xdr:from>
    <xdr:to>
      <xdr:col>8</xdr:col>
      <xdr:colOff>51870</xdr:colOff>
      <xdr:row>18</xdr:row>
      <xdr:rowOff>44451</xdr:rowOff>
    </xdr:to>
    <xdr:pic macro="[0]!BOTON_REPORTE_COMPRAS">
      <xdr:nvPicPr>
        <xdr:cNvPr id="88" name="Imagen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636820" y="2876551"/>
          <a:ext cx="711200" cy="71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422275</xdr:colOff>
      <xdr:row>19</xdr:row>
      <xdr:rowOff>470</xdr:rowOff>
    </xdr:from>
    <xdr:to>
      <xdr:col>8</xdr:col>
      <xdr:colOff>188961</xdr:colOff>
      <xdr:row>22</xdr:row>
      <xdr:rowOff>190099</xdr:rowOff>
    </xdr:to>
    <xdr:sp macro="[0]!BOTON_REPORTE_VENTAS" textlink="">
      <xdr:nvSpPr>
        <xdr:cNvPr id="93" name="Redondear rectángulo de esquina diagonal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>
          <a:off x="4314825" y="3740620"/>
          <a:ext cx="3170286" cy="780179"/>
        </a:xfrm>
        <a:prstGeom prst="round2Diag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600"/>
            <a:t>REPORTE</a:t>
          </a:r>
          <a:r>
            <a:rPr lang="es-ES_tradnl" sz="1600" baseline="0"/>
            <a:t> VENTAS</a:t>
          </a:r>
          <a:endParaRPr lang="es-ES_tradnl" sz="1100"/>
        </a:p>
        <a:p>
          <a:pPr algn="l"/>
          <a:r>
            <a:rPr lang="es-ES_tradnl" sz="1100"/>
            <a:t>INFORME DE VENTAS</a:t>
          </a:r>
          <a:r>
            <a:rPr lang="es-ES_tradnl" sz="1100" baseline="0"/>
            <a:t> </a:t>
          </a:r>
        </a:p>
        <a:p>
          <a:pPr algn="l"/>
          <a:r>
            <a:rPr lang="es-ES_tradnl" sz="1100" baseline="0"/>
            <a:t>REALIZADAS</a:t>
          </a:r>
        </a:p>
      </xdr:txBody>
    </xdr:sp>
    <xdr:clientData/>
  </xdr:twoCellAnchor>
  <xdr:twoCellAnchor>
    <xdr:from>
      <xdr:col>7</xdr:col>
      <xdr:colOff>196783</xdr:colOff>
      <xdr:row>19</xdr:row>
      <xdr:rowOff>50800</xdr:rowOff>
    </xdr:from>
    <xdr:to>
      <xdr:col>8</xdr:col>
      <xdr:colOff>88900</xdr:colOff>
      <xdr:row>22</xdr:row>
      <xdr:rowOff>165100</xdr:rowOff>
    </xdr:to>
    <xdr:pic macro="[0]!BOTON_REPORTE_VENTAS">
      <xdr:nvPicPr>
        <xdr:cNvPr id="94" name="Imagen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642033" y="3790950"/>
          <a:ext cx="743017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444500</xdr:colOff>
      <xdr:row>23</xdr:row>
      <xdr:rowOff>163343</xdr:rowOff>
    </xdr:from>
    <xdr:to>
      <xdr:col>8</xdr:col>
      <xdr:colOff>228600</xdr:colOff>
      <xdr:row>28</xdr:row>
      <xdr:rowOff>20368</xdr:rowOff>
    </xdr:to>
    <xdr:sp macro="[0]!BOTON_INVERSION" textlink="">
      <xdr:nvSpPr>
        <xdr:cNvPr id="96" name="Redondear rectángulo de esquina diagonal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4337050" y="4690893"/>
          <a:ext cx="3187700" cy="841275"/>
        </a:xfrm>
        <a:prstGeom prst="round2Diag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600"/>
            <a:t>INVERSIÓN</a:t>
          </a:r>
          <a:endParaRPr lang="es-ES_tradnl" sz="1100"/>
        </a:p>
        <a:p>
          <a:pPr algn="l"/>
          <a:r>
            <a:rPr lang="es-ES_tradnl" sz="1100"/>
            <a:t>REGISTRO DE DINERO </a:t>
          </a:r>
        </a:p>
        <a:p>
          <a:pPr algn="l"/>
          <a:r>
            <a:rPr lang="es-ES_tradnl" sz="1100"/>
            <a:t>INVERTIDO</a:t>
          </a:r>
        </a:p>
      </xdr:txBody>
    </xdr:sp>
    <xdr:clientData/>
  </xdr:twoCellAnchor>
  <xdr:twoCellAnchor>
    <xdr:from>
      <xdr:col>7</xdr:col>
      <xdr:colOff>98887</xdr:colOff>
      <xdr:row>24</xdr:row>
      <xdr:rowOff>6350</xdr:rowOff>
    </xdr:from>
    <xdr:to>
      <xdr:col>8</xdr:col>
      <xdr:colOff>24142</xdr:colOff>
      <xdr:row>27</xdr:row>
      <xdr:rowOff>144711</xdr:rowOff>
    </xdr:to>
    <xdr:pic macro="[0]!BOTON_INVERSION">
      <xdr:nvPicPr>
        <xdr:cNvPr id="97" name="Imagen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544137" y="4730750"/>
          <a:ext cx="776155" cy="728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3175</xdr:colOff>
      <xdr:row>14</xdr:row>
      <xdr:rowOff>53369</xdr:rowOff>
    </xdr:from>
    <xdr:to>
      <xdr:col>4</xdr:col>
      <xdr:colOff>142949</xdr:colOff>
      <xdr:row>18</xdr:row>
      <xdr:rowOff>76200</xdr:rowOff>
    </xdr:to>
    <xdr:sp macro="[0]!BOTON_COMPRAS" textlink="">
      <xdr:nvSpPr>
        <xdr:cNvPr id="102" name="Redondear rectángulo de esquina diagonal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854075" y="2809269"/>
          <a:ext cx="3181424" cy="810231"/>
        </a:xfrm>
        <a:prstGeom prst="round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600"/>
            <a:t>COMPRAS</a:t>
          </a:r>
          <a:endParaRPr lang="es-ES_tradnl" sz="1100"/>
        </a:p>
        <a:p>
          <a:pPr algn="l"/>
          <a:r>
            <a:rPr lang="es-ES_tradnl" sz="1100"/>
            <a:t>INGRESO</a:t>
          </a:r>
          <a:r>
            <a:rPr lang="es-ES_tradnl" sz="1100" baseline="0"/>
            <a:t> DE</a:t>
          </a:r>
          <a:r>
            <a:rPr lang="es-ES_tradnl" sz="1100"/>
            <a:t> COMPRAS DE</a:t>
          </a:r>
          <a:r>
            <a:rPr lang="es-ES_tradnl" sz="1100" baseline="0"/>
            <a:t> </a:t>
          </a:r>
        </a:p>
        <a:p>
          <a:pPr algn="l"/>
          <a:r>
            <a:rPr lang="es-ES_tradnl" sz="1100"/>
            <a:t>LOS PRODUCTOS</a:t>
          </a:r>
        </a:p>
      </xdr:txBody>
    </xdr:sp>
    <xdr:clientData/>
  </xdr:twoCellAnchor>
  <xdr:twoCellAnchor>
    <xdr:from>
      <xdr:col>3</xdr:col>
      <xdr:colOff>94524</xdr:colOff>
      <xdr:row>14</xdr:row>
      <xdr:rowOff>95249</xdr:rowOff>
    </xdr:from>
    <xdr:to>
      <xdr:col>3</xdr:col>
      <xdr:colOff>824905</xdr:colOff>
      <xdr:row>18</xdr:row>
      <xdr:rowOff>38230</xdr:rowOff>
    </xdr:to>
    <xdr:pic macro="[0]!BOTON_COMPRAS">
      <xdr:nvPicPr>
        <xdr:cNvPr id="103" name="Imagen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136174" y="2851149"/>
          <a:ext cx="730381" cy="7303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15081</xdr:colOff>
      <xdr:row>23</xdr:row>
      <xdr:rowOff>196549</xdr:rowOff>
    </xdr:from>
    <xdr:to>
      <xdr:col>4</xdr:col>
      <xdr:colOff>152400</xdr:colOff>
      <xdr:row>28</xdr:row>
      <xdr:rowOff>34438</xdr:rowOff>
    </xdr:to>
    <xdr:sp macro="[0]!BOTON_REMITO" textlink="">
      <xdr:nvSpPr>
        <xdr:cNvPr id="39" name="Redondear rectángulo de esquina diagonal 32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865981" y="4724099"/>
          <a:ext cx="3178969" cy="822139"/>
        </a:xfrm>
        <a:prstGeom prst="round2Diag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600"/>
            <a:t>COMPROBANTE</a:t>
          </a:r>
          <a:endParaRPr lang="es-ES_tradnl" sz="1100"/>
        </a:p>
        <a:p>
          <a:pPr algn="l"/>
          <a:r>
            <a:rPr lang="es-ES_tradnl" sz="1100"/>
            <a:t>INGRESO</a:t>
          </a:r>
          <a:r>
            <a:rPr lang="es-ES_tradnl" sz="1100" baseline="0"/>
            <a:t> DE LOS PEDIDOS</a:t>
          </a:r>
        </a:p>
        <a:p>
          <a:pPr algn="l"/>
          <a:r>
            <a:rPr lang="es-ES_tradnl" sz="1100" baseline="0"/>
            <a:t>DE CLIENTES.</a:t>
          </a:r>
        </a:p>
      </xdr:txBody>
    </xdr:sp>
    <xdr:clientData/>
  </xdr:twoCellAnchor>
  <xdr:twoCellAnchor>
    <xdr:from>
      <xdr:col>3</xdr:col>
      <xdr:colOff>46159</xdr:colOff>
      <xdr:row>24</xdr:row>
      <xdr:rowOff>31750</xdr:rowOff>
    </xdr:from>
    <xdr:to>
      <xdr:col>3</xdr:col>
      <xdr:colOff>804164</xdr:colOff>
      <xdr:row>28</xdr:row>
      <xdr:rowOff>2355</xdr:rowOff>
    </xdr:to>
    <xdr:pic macro="[0]!BOTON_PRODUCTOS">
      <xdr:nvPicPr>
        <xdr:cNvPr id="40" name="Imagen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087809" y="4756150"/>
          <a:ext cx="758005" cy="758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38100</xdr:colOff>
      <xdr:row>19</xdr:row>
      <xdr:rowOff>33244</xdr:rowOff>
    </xdr:from>
    <xdr:to>
      <xdr:col>4</xdr:col>
      <xdr:colOff>165174</xdr:colOff>
      <xdr:row>23</xdr:row>
      <xdr:rowOff>57153</xdr:rowOff>
    </xdr:to>
    <xdr:sp macro="[0]!BOTON_VENTAS" textlink="">
      <xdr:nvSpPr>
        <xdr:cNvPr id="43" name="Redondear rectángulo de esquina diagonal 55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889000" y="3773394"/>
          <a:ext cx="3168724" cy="811309"/>
        </a:xfrm>
        <a:prstGeom prst="round2Diag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600"/>
            <a:t>VENTAS</a:t>
          </a:r>
          <a:endParaRPr lang="es-ES_tradnl" sz="1100"/>
        </a:p>
        <a:p>
          <a:pPr algn="l"/>
          <a:r>
            <a:rPr lang="es-ES_tradnl" sz="1100"/>
            <a:t>INGRESO</a:t>
          </a:r>
          <a:r>
            <a:rPr lang="es-ES_tradnl" sz="1100" baseline="0"/>
            <a:t> DE </a:t>
          </a:r>
          <a:r>
            <a:rPr lang="es-ES_tradnl" sz="1100"/>
            <a:t>VENTAS DE</a:t>
          </a:r>
        </a:p>
        <a:p>
          <a:pPr algn="l"/>
          <a:r>
            <a:rPr lang="es-ES_tradnl" sz="1100" baseline="0"/>
            <a:t>LOS</a:t>
          </a:r>
          <a:r>
            <a:rPr lang="es-ES_tradnl" sz="1100"/>
            <a:t> PRODUCTOS</a:t>
          </a:r>
        </a:p>
      </xdr:txBody>
    </xdr:sp>
    <xdr:clientData/>
  </xdr:twoCellAnchor>
  <xdr:twoCellAnchor>
    <xdr:from>
      <xdr:col>3</xdr:col>
      <xdr:colOff>87298</xdr:colOff>
      <xdr:row>19</xdr:row>
      <xdr:rowOff>76200</xdr:rowOff>
    </xdr:from>
    <xdr:to>
      <xdr:col>3</xdr:col>
      <xdr:colOff>781050</xdr:colOff>
      <xdr:row>23</xdr:row>
      <xdr:rowOff>152</xdr:rowOff>
    </xdr:to>
    <xdr:pic macro="[0]!BOTON_VENTAS">
      <xdr:nvPicPr>
        <xdr:cNvPr id="44" name="Imagen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128948" y="3816350"/>
          <a:ext cx="693752" cy="711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88900</xdr:colOff>
      <xdr:row>2</xdr:row>
      <xdr:rowOff>133350</xdr:rowOff>
    </xdr:from>
    <xdr:to>
      <xdr:col>2</xdr:col>
      <xdr:colOff>721360</xdr:colOff>
      <xdr:row>6</xdr:row>
      <xdr:rowOff>38100</xdr:rowOff>
    </xdr:to>
    <xdr:pic>
      <xdr:nvPicPr>
        <xdr:cNvPr id="30" name="Imagen 29" descr="Ica – Actividades Descentralizadas SNC">
          <a:extLst>
            <a:ext uri="{FF2B5EF4-FFF2-40B4-BE49-F238E27FC236}">
              <a16:creationId xmlns:a16="http://schemas.microsoft.com/office/drawing/2014/main" id="{D94C4712-78C6-49B4-B470-D52BB3E8724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2310" b="32473"/>
        <a:stretch/>
      </xdr:blipFill>
      <xdr:spPr bwMode="auto">
        <a:xfrm>
          <a:off x="425450" y="527050"/>
          <a:ext cx="1972310" cy="69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184150</xdr:colOff>
      <xdr:row>2</xdr:row>
      <xdr:rowOff>38100</xdr:rowOff>
    </xdr:from>
    <xdr:to>
      <xdr:col>8</xdr:col>
      <xdr:colOff>270243</xdr:colOff>
      <xdr:row>6</xdr:row>
      <xdr:rowOff>12806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3EA5EEE-336C-485A-87BE-46AA18803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413250" y="431800"/>
          <a:ext cx="2638793" cy="762106"/>
        </a:xfrm>
        <a:prstGeom prst="rect">
          <a:avLst/>
        </a:prstGeom>
      </xdr:spPr>
    </xdr:pic>
    <xdr:clientData/>
  </xdr:twoCellAnchor>
  <xdr:twoCellAnchor editAs="oneCell">
    <xdr:from>
      <xdr:col>8</xdr:col>
      <xdr:colOff>419101</xdr:colOff>
      <xdr:row>6</xdr:row>
      <xdr:rowOff>152400</xdr:rowOff>
    </xdr:from>
    <xdr:to>
      <xdr:col>13</xdr:col>
      <xdr:colOff>565151</xdr:colOff>
      <xdr:row>28</xdr:row>
      <xdr:rowOff>6350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F22F96B-1441-460D-A0EC-831887AEF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51" y="1333500"/>
          <a:ext cx="4400550" cy="4184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83039</xdr:colOff>
      <xdr:row>1</xdr:row>
      <xdr:rowOff>117231</xdr:rowOff>
    </xdr:from>
    <xdr:to>
      <xdr:col>6</xdr:col>
      <xdr:colOff>146539</xdr:colOff>
      <xdr:row>22</xdr:row>
      <xdr:rowOff>139700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83039" y="162951"/>
          <a:ext cx="5664200" cy="4167749"/>
          <a:chOff x="2341944" y="-30170"/>
          <a:chExt cx="7602608" cy="6074082"/>
        </a:xfrm>
      </xdr:grpSpPr>
      <xdr:sp macro="" textlink="">
        <xdr:nvSpPr>
          <xdr:cNvPr id="24" name="Rectángulo redondeado 2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2442639" y="1745776"/>
            <a:ext cx="7384433" cy="4171405"/>
          </a:xfrm>
          <a:prstGeom prst="roundRect">
            <a:avLst>
              <a:gd name="adj" fmla="val 1852"/>
            </a:avLst>
          </a:prstGeom>
          <a:noFill/>
          <a:ln w="19050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1100" b="0"/>
          </a:p>
        </xdr:txBody>
      </xdr:sp>
      <xdr:sp macro="" textlink="">
        <xdr:nvSpPr>
          <xdr:cNvPr id="25" name="Rectángulo redondeado 3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2442640" y="52043"/>
            <a:ext cx="7384432" cy="1609632"/>
          </a:xfrm>
          <a:prstGeom prst="roundRect">
            <a:avLst/>
          </a:prstGeom>
          <a:noFill/>
          <a:ln w="19050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1100" b="0"/>
          </a:p>
        </xdr:txBody>
      </xdr:sp>
      <xdr:sp macro="" textlink="">
        <xdr:nvSpPr>
          <xdr:cNvPr id="26" name="Rectángulo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/>
        </xdr:nvSpPr>
        <xdr:spPr>
          <a:xfrm>
            <a:off x="2341944" y="-30170"/>
            <a:ext cx="7602608" cy="6074082"/>
          </a:xfrm>
          <a:prstGeom prst="rect">
            <a:avLst/>
          </a:prstGeom>
          <a:noFill/>
          <a:ln w="19050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_tradnl" sz="1100" b="0"/>
          </a:p>
        </xdr:txBody>
      </xdr:sp>
    </xdr:grpSp>
    <xdr:clientData/>
  </xdr:twoCellAnchor>
  <xdr:twoCellAnchor>
    <xdr:from>
      <xdr:col>7</xdr:col>
      <xdr:colOff>595109</xdr:colOff>
      <xdr:row>13</xdr:row>
      <xdr:rowOff>161192</xdr:rowOff>
    </xdr:from>
    <xdr:to>
      <xdr:col>11</xdr:col>
      <xdr:colOff>13839</xdr:colOff>
      <xdr:row>16</xdr:row>
      <xdr:rowOff>10584</xdr:rowOff>
    </xdr:to>
    <xdr:sp macro="[0]!BOTON_LIMPIAR_REMITO" textlink="">
      <xdr:nvSpPr>
        <xdr:cNvPr id="27" name="Redondear rectángulo de esquina diagonal 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6595859" y="2764692"/>
          <a:ext cx="2720730" cy="452642"/>
        </a:xfrm>
        <a:prstGeom prst="round2DiagRect">
          <a:avLst/>
        </a:prstGeom>
        <a:solidFill>
          <a:srgbClr val="4B85D4"/>
        </a:solidFill>
        <a:effectLst>
          <a:outerShdw blurRad="241300" dist="50800" dir="27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>
              <a:solidFill>
                <a:schemeClr val="bg1"/>
              </a:solidFill>
            </a:rPr>
            <a:t>LIMPIAR CELDAS</a:t>
          </a:r>
        </a:p>
      </xdr:txBody>
    </xdr:sp>
    <xdr:clientData/>
  </xdr:twoCellAnchor>
  <xdr:twoCellAnchor>
    <xdr:from>
      <xdr:col>7</xdr:col>
      <xdr:colOff>584524</xdr:colOff>
      <xdr:row>9</xdr:row>
      <xdr:rowOff>125372</xdr:rowOff>
    </xdr:from>
    <xdr:to>
      <xdr:col>11</xdr:col>
      <xdr:colOff>11070</xdr:colOff>
      <xdr:row>11</xdr:row>
      <xdr:rowOff>191502</xdr:rowOff>
    </xdr:to>
    <xdr:sp macro="[0]!BOTON_FECHA_REMITO" textlink="">
      <xdr:nvSpPr>
        <xdr:cNvPr id="29" name="Redondear rectángulo de esquina diagonal 11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Aspect="1"/>
        </xdr:cNvSpPr>
      </xdr:nvSpPr>
      <xdr:spPr>
        <a:xfrm>
          <a:off x="6585274" y="1924539"/>
          <a:ext cx="2728546" cy="468296"/>
        </a:xfrm>
        <a:prstGeom prst="round2DiagRect">
          <a:avLst/>
        </a:prstGeom>
        <a:solidFill>
          <a:srgbClr val="FF0000"/>
        </a:solidFill>
        <a:effectLst>
          <a:outerShdw blurRad="241300" dist="50800" dir="27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s-ES_tradnl" sz="2000">
              <a:solidFill>
                <a:schemeClr val="bg1"/>
              </a:solidFill>
            </a:rPr>
            <a:t>FECHA</a:t>
          </a:r>
        </a:p>
      </xdr:txBody>
    </xdr:sp>
    <xdr:clientData/>
  </xdr:twoCellAnchor>
  <xdr:twoCellAnchor editAs="oneCell">
    <xdr:from>
      <xdr:col>8</xdr:col>
      <xdr:colOff>42351</xdr:colOff>
      <xdr:row>0</xdr:row>
      <xdr:rowOff>43815</xdr:rowOff>
    </xdr:from>
    <xdr:to>
      <xdr:col>8</xdr:col>
      <xdr:colOff>789498</xdr:colOff>
      <xdr:row>4</xdr:row>
      <xdr:rowOff>150882</xdr:rowOff>
    </xdr:to>
    <xdr:pic macro="[0]!BOTON_VOLVER_MENU">
      <xdr:nvPicPr>
        <xdr:cNvPr id="10" name="Image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47011" y="43815"/>
          <a:ext cx="747147" cy="7471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</xdr:col>
      <xdr:colOff>1228725</xdr:colOff>
      <xdr:row>2</xdr:row>
      <xdr:rowOff>152400</xdr:rowOff>
    </xdr:to>
    <xdr:sp macro="" textlink="">
      <xdr:nvSpPr>
        <xdr:cNvPr id="4" name="Redondear rectángulo de esquina diagonal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266700"/>
          <a:ext cx="6429375" cy="419100"/>
        </a:xfrm>
        <a:prstGeom prst="round2Diag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_tradnl" sz="2000" b="0" cap="none" spc="0">
              <a:ln w="0">
                <a:noFill/>
              </a:ln>
              <a:solidFill>
                <a:schemeClr val="bg1"/>
              </a:solidFill>
              <a:effectLst/>
              <a:latin typeface="Arial Rounded MT Bold" panose="020F0704030504030204" pitchFamily="34" charset="77"/>
            </a:rPr>
            <a:t>PRODUCTOS</a:t>
          </a:r>
        </a:p>
      </xdr:txBody>
    </xdr:sp>
    <xdr:clientData/>
  </xdr:twoCellAnchor>
  <xdr:twoCellAnchor editAs="oneCell">
    <xdr:from>
      <xdr:col>3</xdr:col>
      <xdr:colOff>315401</xdr:colOff>
      <xdr:row>0</xdr:row>
      <xdr:rowOff>50800</xdr:rowOff>
    </xdr:from>
    <xdr:to>
      <xdr:col>3</xdr:col>
      <xdr:colOff>1081598</xdr:colOff>
      <xdr:row>3</xdr:row>
      <xdr:rowOff>24517</xdr:rowOff>
    </xdr:to>
    <xdr:pic macro="[0]!BOTON_VOLVER_MENU"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999921" y="50800"/>
          <a:ext cx="766197" cy="766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3" name="Redondear rectángulo de esquina diagona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8575" y="161925"/>
          <a:ext cx="5991225" cy="323850"/>
        </a:xfrm>
        <a:prstGeom prst="round2Diag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_tradnl" sz="2000" b="0" cap="none" spc="0">
              <a:ln w="0">
                <a:noFill/>
              </a:ln>
              <a:solidFill>
                <a:schemeClr val="bg1"/>
              </a:solidFill>
              <a:effectLst/>
              <a:latin typeface="Arial Rounded MT Bold" panose="020F0704030504030204" pitchFamily="34" charset="77"/>
            </a:rPr>
            <a:t>MOVIMIENTOS</a:t>
          </a:r>
        </a:p>
      </xdr:txBody>
    </xdr:sp>
    <xdr:clientData/>
  </xdr:twoCellAnchor>
  <xdr:twoCellAnchor>
    <xdr:from>
      <xdr:col>10</xdr:col>
      <xdr:colOff>334183</xdr:colOff>
      <xdr:row>8</xdr:row>
      <xdr:rowOff>59653</xdr:rowOff>
    </xdr:from>
    <xdr:to>
      <xdr:col>10</xdr:col>
      <xdr:colOff>2200275</xdr:colOff>
      <xdr:row>12</xdr:row>
      <xdr:rowOff>28575</xdr:rowOff>
    </xdr:to>
    <xdr:sp macro="[0]!BOTON_GUARDAR_MOVIMIENTOS" textlink="">
      <xdr:nvSpPr>
        <xdr:cNvPr id="6" name="Redondear rectángulo de esquina diagonal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9297208" y="1507453"/>
          <a:ext cx="1866092" cy="769022"/>
        </a:xfrm>
        <a:prstGeom prst="round2Diag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1600" b="1">
              <a:solidFill>
                <a:schemeClr val="bg1"/>
              </a:solidFill>
            </a:rPr>
            <a:t>GUARDAR</a:t>
          </a:r>
          <a:r>
            <a:rPr lang="es-ES_tradnl" sz="1600" b="1" baseline="0">
              <a:solidFill>
                <a:schemeClr val="tx1"/>
              </a:solidFill>
            </a:rPr>
            <a:t> </a:t>
          </a:r>
          <a:r>
            <a:rPr lang="es-ES_tradnl" sz="1600" b="1" baseline="0">
              <a:solidFill>
                <a:schemeClr val="bg1"/>
              </a:solidFill>
            </a:rPr>
            <a:t>DATOS</a:t>
          </a:r>
        </a:p>
      </xdr:txBody>
    </xdr:sp>
    <xdr:clientData/>
  </xdr:twoCellAnchor>
  <xdr:twoCellAnchor>
    <xdr:from>
      <xdr:col>7</xdr:col>
      <xdr:colOff>5191</xdr:colOff>
      <xdr:row>10</xdr:row>
      <xdr:rowOff>161925</xdr:rowOff>
    </xdr:from>
    <xdr:to>
      <xdr:col>9</xdr:col>
      <xdr:colOff>268945</xdr:colOff>
      <xdr:row>13</xdr:row>
      <xdr:rowOff>4396</xdr:rowOff>
    </xdr:to>
    <xdr:sp macro="[0]!BOTON_LIMPIAR_MOVIMIENTOS" textlink="">
      <xdr:nvSpPr>
        <xdr:cNvPr id="7" name="Redondear rectángulo de esquina diagonal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625066" y="2009775"/>
          <a:ext cx="1883004" cy="442546"/>
        </a:xfrm>
        <a:prstGeom prst="round2Diag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1600" b="1">
              <a:solidFill>
                <a:schemeClr val="tx1"/>
              </a:solidFill>
            </a:rPr>
            <a:t>LIMPIAR CELDAS</a:t>
          </a:r>
        </a:p>
      </xdr:txBody>
    </xdr:sp>
    <xdr:clientData/>
  </xdr:twoCellAnchor>
  <xdr:twoCellAnchor editAs="oneCell">
    <xdr:from>
      <xdr:col>6</xdr:col>
      <xdr:colOff>478463</xdr:colOff>
      <xdr:row>0</xdr:row>
      <xdr:rowOff>139448</xdr:rowOff>
    </xdr:from>
    <xdr:to>
      <xdr:col>7</xdr:col>
      <xdr:colOff>399975</xdr:colOff>
      <xdr:row>5</xdr:row>
      <xdr:rowOff>114300</xdr:rowOff>
    </xdr:to>
    <xdr:pic macro="[0]!BOTON_VOLVER_MENU">
      <xdr:nvPicPr>
        <xdr:cNvPr id="19" name="Imagen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292523" y="139448"/>
          <a:ext cx="843532" cy="8435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498475</xdr:colOff>
      <xdr:row>4</xdr:row>
      <xdr:rowOff>43885</xdr:rowOff>
    </xdr:from>
    <xdr:to>
      <xdr:col>19</xdr:col>
      <xdr:colOff>514350</xdr:colOff>
      <xdr:row>8</xdr:row>
      <xdr:rowOff>89942</xdr:rowOff>
    </xdr:to>
    <xdr:pic macro="[0]!buscarPRODUCTO"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03495" y="714445"/>
          <a:ext cx="846455" cy="838537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</xdr:row>
      <xdr:rowOff>163297</xdr:rowOff>
    </xdr:from>
    <xdr:to>
      <xdr:col>9</xdr:col>
      <xdr:colOff>257298</xdr:colOff>
      <xdr:row>9</xdr:row>
      <xdr:rowOff>199543</xdr:rowOff>
    </xdr:to>
    <xdr:sp macro="[0]!BOTON_FECHA_MOVIMIENTOS" textlink="">
      <xdr:nvSpPr>
        <xdr:cNvPr id="10" name="Redondear rectángulo de esquina diagonal 7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 noChangeAspect="1"/>
        </xdr:cNvSpPr>
      </xdr:nvSpPr>
      <xdr:spPr>
        <a:xfrm>
          <a:off x="6629399" y="1411072"/>
          <a:ext cx="1867024" cy="436296"/>
        </a:xfrm>
        <a:prstGeom prst="round2DiagRect">
          <a:avLst/>
        </a:prstGeom>
        <a:solidFill>
          <a:srgbClr val="FF0000"/>
        </a:solidFill>
        <a:effectLst>
          <a:outerShdw blurRad="508000" dist="50800" dir="5400000" algn="ctr" rotWithShape="0">
            <a:srgbClr val="000000">
              <a:alpha val="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s-ES_tradnl" sz="1600" b="1">
              <a:solidFill>
                <a:schemeClr val="tx1"/>
              </a:solidFill>
            </a:rPr>
            <a:t>FECHA</a:t>
          </a:r>
        </a:p>
      </xdr:txBody>
    </xdr:sp>
    <xdr:clientData/>
  </xdr:twoCellAnchor>
  <xdr:twoCellAnchor>
    <xdr:from>
      <xdr:col>4</xdr:col>
      <xdr:colOff>143683</xdr:colOff>
      <xdr:row>8</xdr:row>
      <xdr:rowOff>147008</xdr:rowOff>
    </xdr:from>
    <xdr:to>
      <xdr:col>6</xdr:col>
      <xdr:colOff>152400</xdr:colOff>
      <xdr:row>10</xdr:row>
      <xdr:rowOff>123826</xdr:rowOff>
    </xdr:to>
    <xdr:sp macro="[0]!BOTON_COMPRA" textlink="">
      <xdr:nvSpPr>
        <xdr:cNvPr id="8" name="Redondear rectángulo de esquina diagonal 5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344208" y="1594808"/>
          <a:ext cx="1618442" cy="376868"/>
        </a:xfrm>
        <a:prstGeom prst="round2Diag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400" b="1" baseline="0">
              <a:solidFill>
                <a:schemeClr val="tx1"/>
              </a:solidFill>
            </a:rPr>
            <a:t>COMPRA</a:t>
          </a:r>
        </a:p>
      </xdr:txBody>
    </xdr:sp>
    <xdr:clientData/>
  </xdr:twoCellAnchor>
  <xdr:twoCellAnchor>
    <xdr:from>
      <xdr:col>4</xdr:col>
      <xdr:colOff>124633</xdr:colOff>
      <xdr:row>11</xdr:row>
      <xdr:rowOff>23183</xdr:rowOff>
    </xdr:from>
    <xdr:to>
      <xdr:col>6</xdr:col>
      <xdr:colOff>133350</xdr:colOff>
      <xdr:row>13</xdr:row>
      <xdr:rowOff>1</xdr:rowOff>
    </xdr:to>
    <xdr:sp macro="[0]!BOTON_VENTA" textlink="">
      <xdr:nvSpPr>
        <xdr:cNvPr id="11" name="Redondear rectángulo de esquina diagonal 5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325158" y="2071058"/>
          <a:ext cx="1618442" cy="376868"/>
        </a:xfrm>
        <a:prstGeom prst="round2Diag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400" b="1" baseline="0">
              <a:solidFill>
                <a:schemeClr val="tx1"/>
              </a:solidFill>
            </a:rPr>
            <a:t>VENTA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12700</xdr:rowOff>
    </xdr:from>
    <xdr:to>
      <xdr:col>4</xdr:col>
      <xdr:colOff>400050</xdr:colOff>
      <xdr:row>3</xdr:row>
      <xdr:rowOff>76200</xdr:rowOff>
    </xdr:to>
    <xdr:sp macro="" textlink="">
      <xdr:nvSpPr>
        <xdr:cNvPr id="3" name="Redondear rectángulo de esquina diagonal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174625"/>
          <a:ext cx="4857750" cy="387350"/>
        </a:xfrm>
        <a:prstGeom prst="round2Diag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_tradnl" sz="2000" b="0" cap="none" spc="0">
              <a:ln w="0">
                <a:noFill/>
              </a:ln>
              <a:solidFill>
                <a:schemeClr val="bg1"/>
              </a:solidFill>
              <a:effectLst/>
              <a:latin typeface="Arial Rounded MT Bold" panose="020F0704030504030204" pitchFamily="34" charset="77"/>
            </a:rPr>
            <a:t>VENTAS</a:t>
          </a:r>
        </a:p>
      </xdr:txBody>
    </xdr:sp>
    <xdr:clientData/>
  </xdr:twoCellAnchor>
  <xdr:twoCellAnchor editAs="oneCell">
    <xdr:from>
      <xdr:col>6</xdr:col>
      <xdr:colOff>16697</xdr:colOff>
      <xdr:row>0</xdr:row>
      <xdr:rowOff>95251</xdr:rowOff>
    </xdr:from>
    <xdr:to>
      <xdr:col>6</xdr:col>
      <xdr:colOff>704027</xdr:colOff>
      <xdr:row>4</xdr:row>
      <xdr:rowOff>112021</xdr:rowOff>
    </xdr:to>
    <xdr:pic macro="[0]!BOTON_VOLVER_MENU"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600377" y="95251"/>
          <a:ext cx="687330" cy="687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12701</xdr:rowOff>
    </xdr:from>
    <xdr:to>
      <xdr:col>4</xdr:col>
      <xdr:colOff>133350</xdr:colOff>
      <xdr:row>3</xdr:row>
      <xdr:rowOff>38101</xdr:rowOff>
    </xdr:to>
    <xdr:sp macro="" textlink="">
      <xdr:nvSpPr>
        <xdr:cNvPr id="2" name="Redondear rectángulo de esquina diagona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174626"/>
          <a:ext cx="5848350" cy="349250"/>
        </a:xfrm>
        <a:prstGeom prst="round2Diag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_tradnl" sz="2000" b="0" cap="none" spc="0">
              <a:ln w="0">
                <a:noFill/>
              </a:ln>
              <a:solidFill>
                <a:schemeClr val="bg1"/>
              </a:solidFill>
              <a:effectLst/>
              <a:latin typeface="Arial Rounded MT Bold" panose="020F0704030504030204" pitchFamily="34" charset="77"/>
            </a:rPr>
            <a:t>COMPRAS</a:t>
          </a:r>
        </a:p>
      </xdr:txBody>
    </xdr:sp>
    <xdr:clientData/>
  </xdr:twoCellAnchor>
  <xdr:twoCellAnchor editAs="oneCell">
    <xdr:from>
      <xdr:col>5</xdr:col>
      <xdr:colOff>521734</xdr:colOff>
      <xdr:row>0</xdr:row>
      <xdr:rowOff>76200</xdr:rowOff>
    </xdr:from>
    <xdr:to>
      <xdr:col>6</xdr:col>
      <xdr:colOff>275989</xdr:colOff>
      <xdr:row>4</xdr:row>
      <xdr:rowOff>66675</xdr:rowOff>
    </xdr:to>
    <xdr:pic macro="[0]!BOTON_VOLVER_MENU"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31094" y="76200"/>
          <a:ext cx="661035" cy="6610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12701</xdr:colOff>
      <xdr:row>1</xdr:row>
      <xdr:rowOff>12701</xdr:rowOff>
    </xdr:from>
    <xdr:to>
      <xdr:col>4</xdr:col>
      <xdr:colOff>447676</xdr:colOff>
      <xdr:row>3</xdr:row>
      <xdr:rowOff>57151</xdr:rowOff>
    </xdr:to>
    <xdr:sp macro="" textlink="">
      <xdr:nvSpPr>
        <xdr:cNvPr id="3" name="Redondear rectángulo de esquina diagonal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2701" y="174626"/>
          <a:ext cx="4787900" cy="368300"/>
        </a:xfrm>
        <a:prstGeom prst="round2Diag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_tradnl" sz="1100" b="0" cap="none" spc="0">
              <a:ln w="0">
                <a:noFill/>
              </a:ln>
              <a:solidFill>
                <a:schemeClr val="bg1"/>
              </a:solidFill>
              <a:effectLst/>
              <a:latin typeface="Arial Rounded MT Bold" panose="020F0704030504030204" pitchFamily="34" charset="77"/>
            </a:rPr>
            <a:t>REPORTES</a:t>
          </a:r>
          <a:r>
            <a:rPr lang="es-ES_tradnl" sz="1100" b="0" cap="none" spc="0" baseline="0">
              <a:ln w="0">
                <a:noFill/>
              </a:ln>
              <a:solidFill>
                <a:schemeClr val="bg1"/>
              </a:solidFill>
              <a:effectLst/>
              <a:latin typeface="Arial Rounded MT Bold" panose="020F0704030504030204" pitchFamily="34" charset="77"/>
            </a:rPr>
            <a:t> DE VENTA</a:t>
          </a:r>
          <a:endParaRPr lang="es-ES_tradnl" sz="1100" b="0" cap="none" spc="0">
            <a:ln w="0">
              <a:noFill/>
            </a:ln>
            <a:solidFill>
              <a:schemeClr val="bg1"/>
            </a:solidFill>
            <a:effectLst/>
            <a:latin typeface="Arial Rounded MT Bold" panose="020F0704030504030204" pitchFamily="34" charset="77"/>
          </a:endParaRPr>
        </a:p>
      </xdr:txBody>
    </xdr:sp>
    <xdr:clientData/>
  </xdr:twoCellAnchor>
  <xdr:twoCellAnchor editAs="oneCell">
    <xdr:from>
      <xdr:col>5</xdr:col>
      <xdr:colOff>471663</xdr:colOff>
      <xdr:row>0</xdr:row>
      <xdr:rowOff>104775</xdr:rowOff>
    </xdr:from>
    <xdr:to>
      <xdr:col>6</xdr:col>
      <xdr:colOff>312562</xdr:colOff>
      <xdr:row>4</xdr:row>
      <xdr:rowOff>128554</xdr:rowOff>
    </xdr:to>
    <xdr:pic macro="[0]!BOTON_VOLVER_MENU">
      <xdr:nvPicPr>
        <xdr:cNvPr id="8" name="Imagen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197843" y="104775"/>
          <a:ext cx="694339" cy="6943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657225</xdr:colOff>
      <xdr:row>7</xdr:row>
      <xdr:rowOff>13607</xdr:rowOff>
    </xdr:from>
    <xdr:to>
      <xdr:col>8</xdr:col>
      <xdr:colOff>1628775</xdr:colOff>
      <xdr:row>17</xdr:row>
      <xdr:rowOff>7620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24350" y="1147082"/>
              <a:ext cx="5667375" cy="14056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818340</xdr:colOff>
      <xdr:row>0</xdr:row>
      <xdr:rowOff>66676</xdr:rowOff>
    </xdr:from>
    <xdr:to>
      <xdr:col>3</xdr:col>
      <xdr:colOff>1486710</xdr:colOff>
      <xdr:row>4</xdr:row>
      <xdr:rowOff>64486</xdr:rowOff>
    </xdr:to>
    <xdr:pic macro="[0]!BOTON_VOLVER_MENU"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485340" y="66676"/>
          <a:ext cx="668370" cy="668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</xdr:row>
      <xdr:rowOff>12701</xdr:rowOff>
    </xdr:from>
    <xdr:to>
      <xdr:col>3</xdr:col>
      <xdr:colOff>276224</xdr:colOff>
      <xdr:row>3</xdr:row>
      <xdr:rowOff>123825</xdr:rowOff>
    </xdr:to>
    <xdr:sp macro="" textlink="">
      <xdr:nvSpPr>
        <xdr:cNvPr id="3" name="Redondear rectángulo de esquina diagonal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174626"/>
          <a:ext cx="3028949" cy="434974"/>
        </a:xfrm>
        <a:prstGeom prst="round2Diag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_tradnl" sz="1100" b="0" cap="none" spc="0">
              <a:ln w="0">
                <a:noFill/>
              </a:ln>
              <a:solidFill>
                <a:schemeClr val="bg1"/>
              </a:solidFill>
              <a:effectLst/>
              <a:latin typeface="Arial Rounded MT Bold" panose="020F0704030504030204" pitchFamily="34" charset="77"/>
            </a:rPr>
            <a:t>REPORTES</a:t>
          </a:r>
          <a:r>
            <a:rPr lang="es-ES_tradnl" sz="1100" b="0" cap="none" spc="0" baseline="0">
              <a:ln w="0">
                <a:noFill/>
              </a:ln>
              <a:solidFill>
                <a:schemeClr val="bg1"/>
              </a:solidFill>
              <a:effectLst/>
              <a:latin typeface="Arial Rounded MT Bold" panose="020F0704030504030204" pitchFamily="34" charset="77"/>
            </a:rPr>
            <a:t> DE COMPRA</a:t>
          </a:r>
          <a:endParaRPr lang="es-ES_tradnl" sz="1100" b="0" cap="none" spc="0">
            <a:ln w="0">
              <a:noFill/>
            </a:ln>
            <a:solidFill>
              <a:schemeClr val="bg1"/>
            </a:solidFill>
            <a:effectLst/>
            <a:latin typeface="Arial Rounded MT Bold" panose="020F0704030504030204" pitchFamily="34" charset="77"/>
          </a:endParaRPr>
        </a:p>
      </xdr:txBody>
    </xdr:sp>
    <xdr:clientData/>
  </xdr:twoCellAnchor>
  <xdr:twoCellAnchor editAs="oneCell">
    <xdr:from>
      <xdr:col>3</xdr:col>
      <xdr:colOff>696686</xdr:colOff>
      <xdr:row>8</xdr:row>
      <xdr:rowOff>4082</xdr:rowOff>
    </xdr:from>
    <xdr:to>
      <xdr:col>9</xdr:col>
      <xdr:colOff>200025</xdr:colOff>
      <xdr:row>17</xdr:row>
      <xdr:rowOff>137160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ECHA 1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49411" y="1299482"/>
              <a:ext cx="5980339" cy="13770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12700</xdr:rowOff>
    </xdr:from>
    <xdr:to>
      <xdr:col>4</xdr:col>
      <xdr:colOff>654843</xdr:colOff>
      <xdr:row>4</xdr:row>
      <xdr:rowOff>0</xdr:rowOff>
    </xdr:to>
    <xdr:sp macro="" textlink="">
      <xdr:nvSpPr>
        <xdr:cNvPr id="3" name="Redondear rectángulo de esquina diagonal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203200"/>
          <a:ext cx="5726906" cy="558800"/>
        </a:xfrm>
        <a:prstGeom prst="round2Diag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ES_tradnl" sz="2000" b="0" cap="none" spc="0">
              <a:ln w="0">
                <a:noFill/>
              </a:ln>
              <a:solidFill>
                <a:schemeClr val="bg1"/>
              </a:solidFill>
              <a:effectLst/>
              <a:latin typeface="Arial Rounded MT Bold" panose="020F0704030504030204" pitchFamily="34" charset="77"/>
            </a:rPr>
            <a:t>REPORTE</a:t>
          </a:r>
          <a:r>
            <a:rPr lang="es-ES_tradnl" sz="2000" b="0" cap="none" spc="0" baseline="0">
              <a:ln w="0">
                <a:noFill/>
              </a:ln>
              <a:solidFill>
                <a:schemeClr val="bg1"/>
              </a:solidFill>
              <a:effectLst/>
              <a:latin typeface="Arial Rounded MT Bold" panose="020F0704030504030204" pitchFamily="34" charset="77"/>
            </a:rPr>
            <a:t> DE CAPITAL INVERTIDO</a:t>
          </a:r>
        </a:p>
      </xdr:txBody>
    </xdr:sp>
    <xdr:clientData/>
  </xdr:twoCellAnchor>
  <xdr:twoCellAnchor editAs="oneCell">
    <xdr:from>
      <xdr:col>5</xdr:col>
      <xdr:colOff>401929</xdr:colOff>
      <xdr:row>0</xdr:row>
      <xdr:rowOff>115093</xdr:rowOff>
    </xdr:from>
    <xdr:to>
      <xdr:col>5</xdr:col>
      <xdr:colOff>1301455</xdr:colOff>
      <xdr:row>5</xdr:row>
      <xdr:rowOff>62119</xdr:rowOff>
    </xdr:to>
    <xdr:pic macro="[0]!BOTON_VOLVER_MENU">
      <xdr:nvPicPr>
        <xdr:cNvPr id="5" name="Imagen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964529" y="115093"/>
          <a:ext cx="899526" cy="8995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ONTIGER DONBUDY" refreshedDate="45663.946004282407" createdVersion="6" refreshedVersion="6" minRefreshableVersion="3" recordCount="5" xr:uid="{6B03BA28-A14C-EB47-A793-5F21DC410A8C}">
  <cacheSource type="worksheet">
    <worksheetSource name="tabla_compras"/>
  </cacheSource>
  <cacheFields count="8">
    <cacheField name="FECHA" numFmtId="168">
      <sharedItems containsNonDate="0" containsDate="1" containsString="0" containsBlank="1" minDate="2019-01-01T00:00:00" maxDate="2025-01-07T00:00:00" count="19">
        <d v="2025-01-06T00:00:00"/>
        <m/>
        <d v="2019-07-08T00:00:00" u="1"/>
        <d v="2019-07-01T00:00:00" u="1"/>
        <d v="2019-07-06T00:00:00" u="1"/>
        <d v="2020-01-19T00:00:00" u="1"/>
        <d v="2020-02-24T00:00:00" u="1"/>
        <d v="2019-07-09T00:00:00" u="1"/>
        <d v="2019-08-14T00:00:00" u="1"/>
        <d v="2020-03-01T00:00:00" u="1"/>
        <d v="2020-02-08T00:00:00" u="1"/>
        <d v="2019-12-01T00:00:00" u="1"/>
        <d v="2020-01-15T00:00:00" u="1"/>
        <d v="2019-06-21T00:00:00" u="1"/>
        <d v="2019-01-01T00:00:00" u="1"/>
        <d v="2019-08-05T00:00:00" u="1"/>
        <d v="2020-01-20T00:00:00" u="1"/>
        <d v="2020-02-25T00:00:00" u="1"/>
        <d v="2019-09-08T00:00:00" u="1"/>
      </sharedItems>
    </cacheField>
    <cacheField name="CODIGO" numFmtId="0">
      <sharedItems containsBlank="1"/>
    </cacheField>
    <cacheField name="PRODUCTO" numFmtId="0">
      <sharedItems containsBlank="1" count="80">
        <s v="ALBERKA x KILO"/>
        <s v="PAPA x KILO"/>
        <s v="CHOCLO x UNIDAD"/>
        <s v="ZANAHORIA x KILO"/>
        <m/>
        <s v="JW Doble Black 750" u="1"/>
        <s v="Ron Barcelo Blanco 750ml" u="1"/>
        <s v="Absolut Drop Vodka 750ml" u="1"/>
        <s v="zapa roja" u="1"/>
        <s v="Hojas A4" u="1"/>
        <s v="Tinta impresora" u="1"/>
        <s v="Zacapa 23 Ron Guatemala" u="1"/>
        <s v="Ballantines 750ml" u="1"/>
        <s v="Old Parr" u="1"/>
        <s v="Botellon Patagonia" u="1"/>
        <s v="Jim Beam Bouerbon 750ml" u="1"/>
        <s v="Martin Codax Aguardiente" u="1"/>
        <s v="Cajas mad amarillas" u="1"/>
        <s v="Lapices negros" u="1"/>
        <s v="Esterilla Budweiser" u="1"/>
        <s v="JW Red 750" u="1"/>
        <s v="Skorppio Vodka 750ml" u="1"/>
        <s v="Esterilla Corona" u="1"/>
        <s v="Latas" u="1"/>
        <s v="patagonia" u="1"/>
        <s v="Conserv Brahma" u="1"/>
        <s v="Angostura Orange 100ml" u="1"/>
        <s v="JW Gold reserve 750" u="1"/>
        <s v="botellas" u="1"/>
        <s v="Cuaderno rayado" u="1"/>
        <s v="JW Black + 2 vasos" u="1"/>
        <s v="Jim Beam Vainilla 750" u="1"/>
        <s v="Barcelo imperial ron dominicano" u="1"/>
        <s v="Jameson Caskmate Stout 750ml" u="1"/>
        <s v="Carton" u="1"/>
        <s v="JW Red litro" u="1"/>
        <s v="Tofka Vodka" u="1"/>
        <s v="Chivas 12 - 750ml" u="1"/>
        <s v="Chivas Regal 12 - Litro" u="1"/>
        <s v="stella" u="1"/>
        <s v="Filtros" u="1"/>
        <s v="Conserv Corona 20" u="1"/>
        <s v="Jim Beam Honey 750ml" u="1"/>
        <s v="Quilmes Chopp 400ml" u="1"/>
        <s v="Quilmes 500ml x 6" u="1"/>
        <s v="Destapador Stella Artois" u="1"/>
        <s v="Jaggermëister 350 ml" u="1"/>
        <s v="Jack Daniels Fire 1 litro" u="1"/>
        <s v="Madera" u="1"/>
        <s v="Jose Cuervo - Blanco + Chupitos" u="1"/>
        <s v="El Jimador Reposado" u="1"/>
        <s v="El Jimador Blanco" u="1"/>
        <s v="BANANAS" u="1"/>
        <s v="MANZANA" u="1"/>
        <s v="zapato rojo" u="1"/>
        <s v="Vidrio" u="1"/>
        <s v="Patagonia Curvo 330ml x 6" u="1"/>
        <s v="Jameson Irish" u="1"/>
        <s v="Conserv Corona 15" u="1"/>
        <s v="JW White Walker" u="1"/>
        <s v="BANANA" u="1"/>
        <s v="Stella Artois 330ml x 6 Copas" u="1"/>
        <s v="Stella Artois 500ml x 6 Copas" u="1"/>
        <s v="Cristal" u="1"/>
        <s v="Esterilla Patagonia" u="1"/>
        <s v="Sheridans" u="1"/>
        <s v="ZAPATILLA ROJA" u="1"/>
        <s v="corona" u="1"/>
        <s v="brahma" u="1"/>
        <s v="Amarula 750 ml" u="1"/>
        <s v="Gastos" u="1"/>
        <s v="Grey Goose vodka 375ml" u="1"/>
        <s v="Patagonia IPA 500ml x 6" u="1"/>
        <s v="Jack Daniels 375ml" u="1"/>
        <s v="JW Black Litro - 12 años" u="1"/>
        <s v="Absolut Pears 750ml" u="1"/>
        <s v="JW Green 750" u="1"/>
        <s v="Monkey 47 500ml" u="1"/>
        <s v="Esterilla Stella Artois" u="1"/>
        <s v="Bayleys" u="1"/>
      </sharedItems>
    </cacheField>
    <cacheField name="MOVIMIENTO" numFmtId="0">
      <sharedItems containsBlank="1"/>
    </cacheField>
    <cacheField name="CANT." numFmtId="0">
      <sharedItems containsString="0" containsBlank="1" containsNumber="1" containsInteger="1" minValue="10" maxValue="10"/>
    </cacheField>
    <cacheField name="PRECIO COMPRA" numFmtId="0">
      <sharedItems containsString="0" containsBlank="1" containsNumber="1" minValue="1" maxValue="5.5"/>
    </cacheField>
    <cacheField name="TOTAL COMPRA" numFmtId="170">
      <sharedItems containsSemiMixedTypes="0" containsString="0" containsNumber="1" containsInteger="1" minValue="0" maxValue="55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 pivotCacheId="65234980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ONTIGER DONBUDY" refreshedDate="45663.946053819447" createdVersion="6" refreshedVersion="6" minRefreshableVersion="3" recordCount="2" xr:uid="{17CAF131-3A9E-2641-829C-C43EE5684CF7}">
  <cacheSource type="worksheet">
    <worksheetSource name="tabla_ventas"/>
  </cacheSource>
  <cacheFields count="10">
    <cacheField name="FECHA" numFmtId="14">
      <sharedItems containsNonDate="0" containsDate="1" containsString="0" containsBlank="1" minDate="2019-06-21T00:00:00" maxDate="2025-01-07T00:00:00" count="31">
        <d v="2025-01-06T00:00:00"/>
        <m/>
        <d v="2019-07-03T00:00:00" u="1"/>
        <d v="2019-08-08T00:00:00" u="1"/>
        <d v="2019-09-25T00:00:00" u="1"/>
        <d v="2019-08-13T00:00:00" u="1"/>
        <d v="2019-07-01T00:00:00" u="1"/>
        <d v="2019-07-20T00:00:00" u="1"/>
        <d v="2019-07-06T00:00:00" u="1"/>
        <d v="2020-01-19T00:00:00" u="1"/>
        <d v="2019-12-24T00:00:00" u="1"/>
        <d v="2020-02-24T00:00:00" u="1"/>
        <d v="2019-08-09T00:00:00" u="1"/>
        <d v="2019-08-28T00:00:00" u="1"/>
        <d v="2019-07-09T00:00:00" u="1"/>
        <d v="2019-06-23T00:00:00" u="1"/>
        <d v="2019-08-14T00:00:00" u="1"/>
        <d v="2020-03-01T00:00:00" u="1"/>
        <d v="2019-07-02T00:00:00" u="1"/>
        <d v="2019-07-21T00:00:00" u="1"/>
        <d v="2020-02-08T00:00:00" u="1"/>
        <d v="2019-12-01T00:00:00" u="1"/>
        <d v="2020-01-15T00:00:00" u="1"/>
        <d v="2019-06-21T00:00:00" u="1"/>
        <d v="2019-08-12T00:00:00" u="1"/>
        <d v="2020-01-20T00:00:00" u="1"/>
        <d v="2019-07-12T00:00:00" u="1"/>
        <d v="2020-02-25T00:00:00" u="1"/>
        <d v="2019-07-05T00:00:00" u="1"/>
        <d v="2019-09-08T00:00:00" u="1"/>
        <d v="2019-12-30T00:00:00" u="1"/>
      </sharedItems>
    </cacheField>
    <cacheField name="CODIGO" numFmtId="0">
      <sharedItems containsBlank="1" containsMixedTypes="1" containsNumber="1" containsInteger="1" minValue="21" maxValue="24" count="5">
        <s v="0007"/>
        <m/>
        <n v="23" u="1"/>
        <n v="24" u="1"/>
        <n v="21" u="1"/>
      </sharedItems>
    </cacheField>
    <cacheField name="PRODUCTO" numFmtId="0">
      <sharedItems containsBlank="1" count="31">
        <s v="ZANAHORIA x KILO"/>
        <m/>
        <s v="Esterilla Corona" u="1"/>
        <s v="Patagonia IPA 330ml x 6" u="1"/>
        <s v="ZAPATILLA ROJA" u="1"/>
        <s v="zapa roja" u="1"/>
        <s v="Helad Corona 20" u="1"/>
        <s v="brahma" u="1"/>
        <s v="Botellón Patagonia" u="1"/>
        <s v="Hojas A4" u="1"/>
        <s v="BANANA" u="1"/>
        <s v="Vidrio" u="1"/>
        <s v="Absolut Drop Vodka 750ml" u="1"/>
        <s v="Carton" u="1"/>
        <s v="stella" u="1"/>
        <s v="botellas" u="1"/>
        <s v="zapato rojo" u="1"/>
        <s v="Lapices negros" u="1"/>
        <s v="Jack Daniels 375ml" u="1"/>
        <s v="Stella Artois 330ml x 6 Copas" u="1"/>
        <s v="Angostura Orange 100ml" u="1"/>
        <s v="Madera" u="1"/>
        <s v="Conservadora Corona 20" u="1"/>
        <s v="MANZANA" u="1"/>
        <s v="corona" u="1"/>
        <s v="Jim Beam Honey 750ml" u="1"/>
        <s v="Cuaderno rayado" u="1"/>
        <s v="Ballantines 750ml" u="1"/>
        <s v="Esterilla Stella Artois" u="1"/>
        <s v="JW Black + 2 vasos" u="1"/>
        <s v="BANANAS" u="1"/>
      </sharedItems>
    </cacheField>
    <cacheField name="MOVIMIENTO" numFmtId="0">
      <sharedItems containsBlank="1"/>
    </cacheField>
    <cacheField name="CANT." numFmtId="0">
      <sharedItems containsString="0" containsBlank="1" containsNumber="1" containsInteger="1" minValue="5" maxValue="5"/>
    </cacheField>
    <cacheField name="PRECIO COMPRA" numFmtId="165">
      <sharedItems containsString="0" containsBlank="1" containsNumber="1" containsInteger="1" minValue="1" maxValue="1"/>
    </cacheField>
    <cacheField name="PRECIO VENTA" numFmtId="165">
      <sharedItems containsString="0" containsBlank="1" containsNumber="1" minValue="1.5" maxValue="1.5"/>
    </cacheField>
    <cacheField name="TOTAL VENTA" numFmtId="43">
      <sharedItems containsSemiMixedTypes="0" containsString="0" containsNumber="1" minValue="0" maxValue="7.5"/>
    </cacheField>
    <cacheField name="OBSERVACIONES" numFmtId="0">
      <sharedItems containsBlank="1"/>
    </cacheField>
    <cacheField name="GANANCIA" numFmtId="0">
      <sharedItems containsSemiMixedTypes="0" containsString="0" containsNumber="1" minValue="0" maxValue="2.5"/>
    </cacheField>
  </cacheFields>
  <extLst>
    <ext xmlns:x14="http://schemas.microsoft.com/office/spreadsheetml/2009/9/main" uri="{725AE2AE-9491-48be-B2B4-4EB974FC3084}">
      <x14:pivotCacheDefinition pivotCacheId="3729525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0010"/>
    <x v="0"/>
    <s v="COMPRA"/>
    <n v="10"/>
    <n v="5.5"/>
    <n v="55"/>
    <s v="COMPRA x KILO"/>
  </r>
  <r>
    <x v="0"/>
    <s v="0009"/>
    <x v="1"/>
    <s v="COMPRA"/>
    <n v="10"/>
    <n v="3.5"/>
    <n v="35"/>
    <s v="COMPRA x KILO"/>
  </r>
  <r>
    <x v="0"/>
    <s v="0008"/>
    <x v="2"/>
    <s v="COMPRA"/>
    <n v="10"/>
    <n v="2"/>
    <n v="20"/>
    <s v="COMPRA x KILO"/>
  </r>
  <r>
    <x v="0"/>
    <s v="0007"/>
    <x v="3"/>
    <s v="COMPRA"/>
    <n v="10"/>
    <n v="1"/>
    <n v="10"/>
    <s v="COMPRA x KILO"/>
  </r>
  <r>
    <x v="1"/>
    <m/>
    <x v="4"/>
    <m/>
    <m/>
    <m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x v="0"/>
    <x v="0"/>
    <s v="VENTA"/>
    <n v="5"/>
    <n v="1"/>
    <n v="1.5"/>
    <n v="7.5"/>
    <s v="VENTA x KILO"/>
    <n v="2.5"/>
  </r>
  <r>
    <x v="1"/>
    <x v="1"/>
    <x v="1"/>
    <m/>
    <m/>
    <m/>
    <m/>
    <n v="0"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22BF27-C8F0-4D45-AA3C-5A6F3D574BCD}" name="reporteventa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>
  <location ref="A8:E10" firstHeaderRow="0" firstDataRow="1" firstDataCol="1" rowPageCount="1" colPageCount="1"/>
  <pivotFields count="10">
    <pivotField axis="axisPage" numFmtId="14" multipleItemSelectionAllowed="1" showAll="0">
      <items count="32">
        <item m="1" x="26"/>
        <item m="1" x="7"/>
        <item m="1" x="19"/>
        <item m="1" x="24"/>
        <item m="1" x="15"/>
        <item m="1" x="23"/>
        <item m="1" x="6"/>
        <item m="1" x="18"/>
        <item m="1" x="2"/>
        <item m="1" x="28"/>
        <item m="1" x="10"/>
        <item m="1" x="8"/>
        <item m="1" x="12"/>
        <item m="1" x="13"/>
        <item m="1" x="30"/>
        <item m="1" x="4"/>
        <item m="1" x="5"/>
        <item m="1" x="3"/>
        <item m="1" x="29"/>
        <item m="1" x="16"/>
        <item m="1" x="14"/>
        <item m="1" x="21"/>
        <item m="1" x="22"/>
        <item m="1" x="9"/>
        <item m="1" x="25"/>
        <item m="1" x="20"/>
        <item m="1" x="11"/>
        <item m="1" x="17"/>
        <item m="1" x="27"/>
        <item x="1"/>
        <item x="0"/>
        <item t="default"/>
      </items>
    </pivotField>
    <pivotField showAll="0">
      <items count="6">
        <item m="1" x="4"/>
        <item m="1" x="2"/>
        <item m="1" x="3"/>
        <item x="1"/>
        <item x="0"/>
        <item t="default"/>
      </items>
    </pivotField>
    <pivotField axis="axisRow" showAll="0">
      <items count="32">
        <item m="1" x="12"/>
        <item m="1" x="2"/>
        <item m="1" x="8"/>
        <item m="1" x="22"/>
        <item m="1" x="27"/>
        <item m="1" x="20"/>
        <item x="1"/>
        <item m="1" x="6"/>
        <item m="1" x="19"/>
        <item m="1" x="18"/>
        <item m="1" x="25"/>
        <item m="1" x="29"/>
        <item m="1" x="28"/>
        <item m="1" x="3"/>
        <item m="1" x="9"/>
        <item m="1" x="17"/>
        <item m="1" x="26"/>
        <item m="1" x="13"/>
        <item m="1" x="15"/>
        <item m="1" x="11"/>
        <item m="1" x="21"/>
        <item m="1" x="14"/>
        <item m="1" x="24"/>
        <item m="1" x="7"/>
        <item m="1" x="10"/>
        <item m="1" x="23"/>
        <item m="1" x="30"/>
        <item m="1" x="4"/>
        <item m="1" x="16"/>
        <item m="1" x="5"/>
        <item x="0"/>
        <item t="default"/>
      </items>
    </pivotField>
    <pivotField showAll="0"/>
    <pivotField showAll="0"/>
    <pivotField dataField="1" numFmtId="165" showAll="0"/>
    <pivotField dataField="1" numFmtId="165" showAll="0"/>
    <pivotField dataField="1" numFmtId="165" showAll="0"/>
    <pivotField showAll="0"/>
    <pivotField dataField="1" numFmtId="165" showAll="0"/>
  </pivotFields>
  <rowFields count="1">
    <field x="2"/>
  </rowFields>
  <rowItems count="2">
    <i>
      <x v="3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PRECIO COMPRA*" fld="5" baseField="0" baseItem="0" numFmtId="170"/>
    <dataField name="PRECIO VENTA*" fld="6" baseField="0" baseItem="0" numFmtId="170"/>
    <dataField name="TOTAL VENTA*" fld="7" baseField="0" baseItem="0" numFmtId="170"/>
    <dataField name="GANANCIA*" fld="9" baseField="0" baseItem="0" numFmtId="170"/>
  </dataFields>
  <formats count="34"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1" type="button" dataOnly="0" labelOnly="1" outline="0"/>
    </format>
    <format dxfId="56">
      <pivotArea dataOnly="0" labelOnly="1" grandRow="1" outline="0" fieldPosition="0"/>
    </format>
    <format dxfId="5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2" type="button" dataOnly="0" labelOnly="1" outline="0" axis="axisRow" fieldPosition="0"/>
    </format>
    <format dxfId="51">
      <pivotArea dataOnly="0" labelOnly="1" grandRow="1" outline="0" fieldPosition="0"/>
    </format>
    <format dxfId="5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2" type="button" dataOnly="0" labelOnly="1" outline="0" axis="axisRow" fieldPosition="0"/>
    </format>
    <format dxfId="46">
      <pivotArea dataOnly="0" labelOnly="1" grandRow="1" outline="0" fieldPosition="0"/>
    </format>
    <format dxfId="4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4">
      <pivotArea field="2" type="button" dataOnly="0" labelOnly="1" outline="0" axis="axisRow" fieldPosition="0"/>
    </format>
    <format dxfId="4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field="2" type="button" dataOnly="0" labelOnly="1" outline="0" axis="axisRow" fieldPosition="0"/>
    </format>
    <format dxfId="3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7">
      <pivotArea field="2" type="button" dataOnly="0" labelOnly="1" outline="0" axis="axisRow" fieldPosition="0"/>
    </format>
    <format dxfId="36">
      <pivotArea field="0" type="button" dataOnly="0" labelOnly="1" outline="0" axis="axisPage" fieldPosition="0"/>
    </format>
    <format dxfId="35">
      <pivotArea dataOnly="0" labelOnly="1" outline="0" fieldPosition="0">
        <references count="1">
          <reference field="0" count="0"/>
        </references>
      </pivotArea>
    </format>
    <format dxfId="34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">
      <pivotArea dataOnly="0" labelOnly="1" outline="0" fieldPosition="0">
        <references count="1">
          <reference field="0" count="0"/>
        </references>
      </pivotArea>
    </format>
    <format dxfId="2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6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dateBetween" evalOrder="-1" id="11" name="FECHA">
      <autoFilter ref="A1">
        <filterColumn colId="0">
          <customFilters and="1">
            <customFilter operator="greaterThanOrEqual" val="45658"/>
            <customFilter operator="lessThanOrEqual" val="456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CA482F-405F-1147-8F20-56CA499E2079}" name="reportecompra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>
  <location ref="A9:C14" firstHeaderRow="0" firstDataRow="1" firstDataCol="1" rowPageCount="1" colPageCount="1"/>
  <pivotFields count="8">
    <pivotField axis="axisPage" numFmtId="14" showAll="0">
      <items count="20">
        <item m="1" x="13"/>
        <item m="1" x="14"/>
        <item m="1" x="3"/>
        <item m="1" x="4"/>
        <item m="1" x="15"/>
        <item m="1" x="2"/>
        <item m="1" x="7"/>
        <item m="1" x="18"/>
        <item m="1" x="8"/>
        <item m="1" x="11"/>
        <item m="1" x="12"/>
        <item m="1" x="5"/>
        <item m="1" x="16"/>
        <item m="1" x="10"/>
        <item m="1" x="6"/>
        <item m="1" x="9"/>
        <item m="1" x="17"/>
        <item x="1"/>
        <item x="0"/>
        <item t="default"/>
      </items>
    </pivotField>
    <pivotField showAll="0"/>
    <pivotField axis="axisRow" showAll="0">
      <items count="81">
        <item m="1" x="75"/>
        <item m="1" x="26"/>
        <item x="4"/>
        <item m="1" x="30"/>
        <item m="1" x="43"/>
        <item m="1" x="6"/>
        <item m="1" x="36"/>
        <item m="1" x="37"/>
        <item m="1" x="38"/>
        <item m="1" x="7"/>
        <item m="1" x="33"/>
        <item m="1" x="15"/>
        <item m="1" x="59"/>
        <item m="1" x="12"/>
        <item m="1" x="49"/>
        <item m="1" x="69"/>
        <item m="1" x="11"/>
        <item m="1" x="21"/>
        <item m="1" x="65"/>
        <item m="1" x="13"/>
        <item m="1" x="77"/>
        <item m="1" x="16"/>
        <item m="1" x="35"/>
        <item m="1" x="20"/>
        <item m="1" x="76"/>
        <item m="1" x="27"/>
        <item m="1" x="5"/>
        <item m="1" x="74"/>
        <item m="1" x="42"/>
        <item m="1" x="57"/>
        <item m="1" x="46"/>
        <item m="1" x="47"/>
        <item m="1" x="73"/>
        <item m="1" x="71"/>
        <item m="1" x="50"/>
        <item m="1" x="51"/>
        <item m="1" x="79"/>
        <item m="1" x="32"/>
        <item m="1" x="14"/>
        <item m="1" x="19"/>
        <item m="1" x="78"/>
        <item m="1" x="64"/>
        <item m="1" x="22"/>
        <item m="1" x="45"/>
        <item m="1" x="41"/>
        <item m="1" x="58"/>
        <item m="1" x="25"/>
        <item m="1" x="44"/>
        <item m="1" x="72"/>
        <item m="1" x="56"/>
        <item m="1" x="62"/>
        <item m="1" x="61"/>
        <item m="1" x="31"/>
        <item m="1" x="10"/>
        <item m="1" x="9"/>
        <item m="1" x="18"/>
        <item m="1" x="29"/>
        <item m="1" x="70"/>
        <item m="1" x="55"/>
        <item m="1" x="34"/>
        <item m="1" x="23"/>
        <item m="1" x="28"/>
        <item m="1" x="48"/>
        <item m="1" x="17"/>
        <item m="1" x="63"/>
        <item m="1" x="40"/>
        <item m="1" x="24"/>
        <item m="1" x="39"/>
        <item m="1" x="67"/>
        <item m="1" x="68"/>
        <item m="1" x="60"/>
        <item m="1" x="53"/>
        <item m="1" x="52"/>
        <item m="1" x="66"/>
        <item m="1" x="54"/>
        <item m="1" x="8"/>
        <item x="0"/>
        <item x="1"/>
        <item x="2"/>
        <item x="3"/>
        <item t="default"/>
      </items>
    </pivotField>
    <pivotField showAll="0"/>
    <pivotField showAll="0"/>
    <pivotField dataField="1" showAll="0"/>
    <pivotField dataField="1" showAll="0"/>
    <pivotField showAll="0"/>
  </pivotFields>
  <rowFields count="1">
    <field x="2"/>
  </rowFields>
  <rowItems count="5">
    <i>
      <x v="76"/>
    </i>
    <i>
      <x v="77"/>
    </i>
    <i>
      <x v="78"/>
    </i>
    <i>
      <x v="79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PRECIO COMPRA**" fld="5" baseField="0" baseItem="0" numFmtId="170"/>
    <dataField name="TOTAL COMPRA**" fld="6" baseField="0" baseItem="0" numFmtId="170"/>
  </dataFields>
  <formats count="26"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2" type="button" dataOnly="0" labelOnly="1" outline="0" axis="axisRow" fieldPosition="0"/>
    </format>
    <format dxfId="22">
      <pivotArea dataOnly="0" labelOnly="1" fieldPosition="0">
        <references count="1">
          <reference field="2" count="0"/>
        </references>
      </pivotArea>
    </format>
    <format dxfId="21">
      <pivotArea dataOnly="0" labelOnly="1" grandRow="1" outline="0" fieldPosition="0"/>
    </format>
    <format dxfId="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2" type="button" dataOnly="0" labelOnly="1" outline="0" axis="axisRow" fieldPosition="0"/>
    </format>
    <format dxfId="16">
      <pivotArea dataOnly="0" labelOnly="1" fieldPosition="0">
        <references count="1">
          <reference field="2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">
      <pivotArea field="2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field="2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">
      <pivotArea field="2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">
      <pivotArea field="0" type="button" dataOnly="0" labelOnly="1" outline="0" axis="axisPage" fieldPosition="0"/>
    </format>
    <format dxfId="5">
      <pivotArea dataOnly="0" labelOnly="1" outline="0" fieldPosition="0">
        <references count="1">
          <reference field="0" count="0"/>
        </references>
      </pivotArea>
    </format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">
      <pivotArea dataOnly="0" labelOnly="1" outline="0" fieldPosition="0">
        <references count="1">
          <reference field="0" count="0"/>
        </references>
      </pivotArea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dateBetween" evalOrder="-1" id="86" name="FECHA">
      <autoFilter ref="A1">
        <filterColumn colId="0">
          <customFilters and="1">
            <customFilter operator="greaterThanOrEqual" val="45658"/>
            <customFilter operator="lessThanOrEqual" val="456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B2FCD4E-EEED-4879-A058-A1978AA356ED}" name="Tabla6" displayName="Tabla6" ref="B9:F22" totalsRowShown="0" headerRowDxfId="124" dataDxfId="122" headerRowBorderDxfId="123" tableBorderDxfId="121" totalsRowBorderDxfId="120">
  <autoFilter ref="B9:F22" xr:uid="{7BA1B84F-474F-41EA-95FD-AD9D085B661D}"/>
  <tableColumns count="5">
    <tableColumn id="1" xr3:uid="{F78FD604-D6BF-48CC-85C6-17CCAB98B26D}" name="CODIGO" dataDxfId="119"/>
    <tableColumn id="2" xr3:uid="{C945676F-9F4B-41B6-9DFC-4C4F5C778122}" name="DESCRIPCION" dataDxfId="118"/>
    <tableColumn id="3" xr3:uid="{E3F8A01F-E5F9-44E4-A918-C6790CB905CB}" name="CANT" dataDxfId="117"/>
    <tableColumn id="4" xr3:uid="{F8B3A9E2-9E02-4F30-B215-5B98572F3D99}" name="PRECIO UNIT" dataDxfId="116" dataCellStyle="Moneda"/>
    <tableColumn id="5" xr3:uid="{358DEECD-8751-4FEB-9EB6-901D53EA2C70}" name="TOTAL" dataDxfId="115" dataCellStyle="Moneda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622B74-1F79-C240-A5B9-6F6E90E29911}" name="tabla_productos" displayName="tabla_productos" ref="A6:H10" totalsRowShown="0" headerRowDxfId="114" dataDxfId="112" headerRowBorderDxfId="113" tableBorderDxfId="111">
  <autoFilter ref="A6:H10" xr:uid="{E7F1E1A9-3D8B-4047-AB4F-1F562064A7CD}"/>
  <tableColumns count="8">
    <tableColumn id="1" xr3:uid="{864F3CEE-48D8-FE48-B657-FB616D20D9F2}" name="CODIGO" dataDxfId="110">
      <calculatedColumnFormula>TEXT(ROW(A7),"0000")</calculatedColumnFormula>
    </tableColumn>
    <tableColumn id="2" xr3:uid="{9152A461-ED64-9D4D-9083-87133C36F009}" name="PRODUCTO" dataDxfId="109"/>
    <tableColumn id="3" xr3:uid="{0EC36934-004D-EA40-9206-5C57A337C785}" name="PRECIO COMPRA" dataDxfId="108" dataCellStyle="Porcentaje"/>
    <tableColumn id="4" xr3:uid="{96C1840F-51DE-9A48-B576-7A6A5C035846}" name="PRECIO VENTA" dataDxfId="107" dataCellStyle="Moneda"/>
    <tableColumn id="6" xr3:uid="{3CB7BF27-432A-A644-B323-040071A8F07C}" name="ENTRADAS" dataDxfId="106" dataCellStyle="Millares">
      <calculatedColumnFormula>SUMIF(tabla_compras[CODIGO],tabla_productos[[#This Row],[CODIGO]],tabla_compras[CANT.])</calculatedColumnFormula>
    </tableColumn>
    <tableColumn id="7" xr3:uid="{D0B5A919-6202-0E4C-A88D-4EA11C4DAF60}" name="SALIDAS" dataDxfId="105" dataCellStyle="Millares">
      <calculatedColumnFormula>SUMIF(tabla_ventas[CODIGO],tabla_productos[[#This Row],[CODIGO]],tabla_ventas[CANT.])</calculatedColumnFormula>
    </tableColumn>
    <tableColumn id="8" xr3:uid="{940A6A33-53BB-E14E-8897-6FC7EF6F8705}" name="STOCK ACTUAL" dataDxfId="104" dataCellStyle="Millares">
      <calculatedColumnFormula>tabla_productos[[#This Row],[ENTRADAS]]-tabla_productos[[#This Row],[SALIDAS]]</calculatedColumnFormula>
    </tableColumn>
    <tableColumn id="9" xr3:uid="{6D7E8EB7-1A13-8541-9C33-7C325C27A7C6}" name="INVERTIDO" dataDxfId="103" dataCellStyle="Moneda">
      <calculatedColumnFormula>SUM(C7*G7)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112A265-D75D-7843-8ED4-477B597C35C5}" name="tabla_movimientos" displayName="tabla_movimientos" ref="B16:K21" totalsRowShown="0" headerRowDxfId="102" dataDxfId="100" headerRowBorderDxfId="101" tableBorderDxfId="99" totalsRowBorderDxfId="98">
  <autoFilter ref="B16:K21" xr:uid="{36F16F6E-3FC8-F14A-B424-E104B3CF4C4E}"/>
  <tableColumns count="10">
    <tableColumn id="1" xr3:uid="{2FD3A14A-F6E4-6E45-B9D5-1B326F223945}" name="FECHA" dataDxfId="97"/>
    <tableColumn id="10" xr3:uid="{FA59C06F-9576-1E40-988D-414B8499FE6F}" name="CODIGO" dataDxfId="96"/>
    <tableColumn id="2" xr3:uid="{5A28BB39-9753-F54C-8746-E6F48CEA3168}" name="PRODUCTO" dataDxfId="95"/>
    <tableColumn id="3" xr3:uid="{65739846-74EA-0345-99C5-F79796797161}" name="MOVIMIENTO" dataDxfId="94"/>
    <tableColumn id="4" xr3:uid="{9E902839-832A-7D46-BB3C-F0C029F6FDFC}" name="CANT." dataDxfId="93"/>
    <tableColumn id="5" xr3:uid="{DD73CFC0-B0AF-CF4A-84D9-23188C10025F}" name="PRECIO COMPRA" dataDxfId="92" dataCellStyle="Moneda"/>
    <tableColumn id="6" xr3:uid="{C370478C-2581-EF49-A74C-ACF5C6D93C00}" name="PRECIO VENTA" dataDxfId="91" dataCellStyle="Moneda"/>
    <tableColumn id="7" xr3:uid="{57B679F2-0427-434D-8E8D-0FB914D62B1A}" name="TOTAL COMPRA" dataDxfId="90" dataCellStyle="Moneda">
      <calculatedColumnFormula>IF(tabla_movimientos[[#This Row],[MOVIMIENTO]]="COMPRA",tabla_movimientos[[#This Row],[CANT.]]*tabla_movimientos[[#This Row],[PRECIO COMPRA]],"")</calculatedColumnFormula>
    </tableColumn>
    <tableColumn id="9" xr3:uid="{ABF6C9BD-26F6-2E4D-B6DB-DF11F62C7E52}" name="TOTAL VENTA" dataDxfId="89" dataCellStyle="Moneda">
      <calculatedColumnFormula>IF(tabla_movimientos[[#This Row],[MOVIMIENTO]]="VENTA",tabla_movimientos[[#This Row],[CANT.]]*tabla_movimientos[[#This Row],[PRECIO VENTA]],"")</calculatedColumnFormula>
    </tableColumn>
    <tableColumn id="8" xr3:uid="{62F87AF9-32A8-2246-8F75-92A866218D12}" name="OBSERVACIONES" dataDxfId="8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EE2F58-C980-C947-84B4-824BDBF653BD}" name="tabla_ventas" displayName="tabla_ventas" ref="A7:J9" totalsRowShown="0" headerRowDxfId="87" dataDxfId="85" headerRowBorderDxfId="86" tableBorderDxfId="84" totalsRowBorderDxfId="83">
  <autoFilter ref="A7:J9" xr:uid="{D2114C09-0264-774F-AC6D-1F4F436AF746}">
    <filterColumn colId="0">
      <filters blank="1">
        <dateGroupItem year="2019" month="6" dateTimeGrouping="month"/>
      </filters>
    </filterColumn>
  </autoFilter>
  <tableColumns count="10">
    <tableColumn id="1" xr3:uid="{967B4940-66AD-E342-B6D8-5F2E82020C5C}" name="FECHA" dataDxfId="82"/>
    <tableColumn id="2" xr3:uid="{E8C16C55-8A76-594E-9B2C-363147FBEA5E}" name="CODIGO" dataDxfId="81"/>
    <tableColumn id="3" xr3:uid="{A0702CC6-4E1E-4942-A863-A9E7742334DB}" name="PRODUCTO" dataDxfId="80"/>
    <tableColumn id="4" xr3:uid="{27A6DCDB-DCED-7140-A2CC-D4F2D3AC57EC}" name="MOVIMIENTO" dataDxfId="79"/>
    <tableColumn id="5" xr3:uid="{6EEB1320-D84F-1142-B29F-0B6F30D31C20}" name="CANT." dataDxfId="78"/>
    <tableColumn id="9" xr3:uid="{D201517A-F8D9-1B4D-8F40-FB379754FA89}" name="PRECIO COMPRA" dataDxfId="77" dataCellStyle="Moneda"/>
    <tableColumn id="6" xr3:uid="{1E62F3AC-DB87-EB4E-9E40-44916FC20189}" name="PRECIO VENTA" dataDxfId="76" dataCellStyle="Moneda"/>
    <tableColumn id="7" xr3:uid="{43316F89-132E-D644-9BFF-A390D85CB929}" name="TOTAL VENTA" dataDxfId="75" dataCellStyle="Moneda">
      <calculatedColumnFormula>G8*E8</calculatedColumnFormula>
    </tableColumn>
    <tableColumn id="8" xr3:uid="{5CA701BE-4A0B-1C49-80A1-2A56B7D8F8B6}" name="OBSERVACIONES" dataDxfId="74"/>
    <tableColumn id="10" xr3:uid="{7B1B3384-A9E2-1E4D-9823-4C0B5412A1DA}" name="GANANCIA" dataDxfId="73">
      <calculatedColumnFormula>(G8-F8)*E8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9B6675-87F0-B84D-829F-FC9A61C717D0}" name="tabla_compras" displayName="tabla_compras" ref="A7:H12" totalsRowShown="0" headerRowDxfId="72" dataDxfId="70" headerRowBorderDxfId="71" tableBorderDxfId="69" totalsRowBorderDxfId="68">
  <autoFilter ref="A7:H12" xr:uid="{58BE1849-46AA-0942-8D70-EF21FD3F785D}"/>
  <tableColumns count="8">
    <tableColumn id="1" xr3:uid="{FBD5BEF7-A58A-D643-A49E-7C210B897AED}" name="FECHA" dataDxfId="67"/>
    <tableColumn id="2" xr3:uid="{6995FDBB-000A-7544-8A6A-5BEEC2125438}" name="CODIGO" dataDxfId="66"/>
    <tableColumn id="3" xr3:uid="{16FF7C51-2113-5E4F-945E-DC676DC145F4}" name="PRODUCTO" dataDxfId="65"/>
    <tableColumn id="4" xr3:uid="{79897B4F-805B-DF4D-8F1E-E9F77DC57917}" name="MOVIMIENTO" dataDxfId="64"/>
    <tableColumn id="5" xr3:uid="{C6C58437-2866-1246-AC20-22CC0B80C8E8}" name="CANT." dataDxfId="63"/>
    <tableColumn id="6" xr3:uid="{F6BFD96B-24B5-D64A-85E0-7F2EEB36FE3F}" name="PRECIO COMPRA" dataDxfId="62" dataCellStyle="Moneda"/>
    <tableColumn id="7" xr3:uid="{C31FAD65-ACC3-3241-9A4C-2F13E8508108}" name="TOTAL COMPRA" dataDxfId="61" dataCellStyle="Moneda">
      <calculatedColumnFormula>F8*E8</calculatedColumnFormula>
    </tableColumn>
    <tableColumn id="8" xr3:uid="{133034B8-752D-5E4E-93DE-0407462D67FF}" name="OBSERVACIONES" dataDxfId="6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DE4E5A63-0E1E-1A4D-8B15-C15538CB0B9A}" sourceName="FECHA">
  <pivotTables>
    <pivotTable tabId="12" name="reportecompra"/>
  </pivotTables>
  <state minimalRefreshVersion="6" lastRefreshVersion="6" pivotCacheId="652349807" filterType="dateBetween">
    <selection startDate="2025-01-01T00:00:00" endDate="2025-01-31T00:00:00"/>
    <bounds startDate="2019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9A14C592-5A08-49E7-B23E-B0E2AE01AD7E}" sourceName="FECHA">
  <pivotTables>
    <pivotTable tabId="6" name="reporteventa"/>
  </pivotTables>
  <state minimalRefreshVersion="6" lastRefreshVersion="6" pivotCacheId="372952564" filterType="dateBetween">
    <selection startDate="2025-01-01T00:00:00" endDate="2025-01-31T00:00:00"/>
    <bounds startDate="2019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39E36EE4-4CA4-42CA-A537-3E405440BEF5}" cache="NativeTimeline_FECHA" caption="FECHA" level="2" selectionLevel="2" scrollPosition="2024-08-04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8154C4C2-1353-0A4D-9F52-B54EDBD2AC15}" cache="NativeTimeline_FECHA1" caption="FECHA" level="2" selectionLevel="2" scrollPosition="2024-12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mercadopago.com.ar/checkout/v1/redirect?pref_id=571798344-1dca53f1-75d0-4dd2-bb33-864f773c6465" TargetMode="External"/><Relationship Id="rId1" Type="http://schemas.openxmlformats.org/officeDocument/2006/relationships/hyperlink" Target="https://www.mercadopago.com.ar/checkout/v1/redirect?pref_id=571798344-1b8f7faf-1f0b-4451-859d-a648a4873656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B1865-53FA-4545-8540-81B65D3356B4}">
  <sheetPr codeName="Hoja1">
    <tabColor rgb="FFFF0000"/>
  </sheetPr>
  <dimension ref="B22:H25"/>
  <sheetViews>
    <sheetView tabSelected="1" topLeftCell="A3" zoomScale="120" zoomScaleNormal="120" workbookViewId="0">
      <selection activeCell="L5" sqref="L5"/>
    </sheetView>
  </sheetViews>
  <sheetFormatPr baseColWidth="10" defaultRowHeight="15.6"/>
  <cols>
    <col min="1" max="1" width="4.3984375" style="55" customWidth="1"/>
    <col min="2" max="2" width="17.59765625" style="55" bestFit="1" customWidth="1"/>
    <col min="3" max="16384" width="11.19921875" style="55"/>
  </cols>
  <sheetData>
    <row r="22" spans="2:8">
      <c r="E22" s="56"/>
    </row>
    <row r="23" spans="2:8">
      <c r="B23" s="57"/>
      <c r="C23" s="57"/>
      <c r="D23" s="57"/>
      <c r="E23" s="54"/>
      <c r="F23" s="54"/>
      <c r="G23" s="54"/>
      <c r="H23" s="54"/>
    </row>
    <row r="24" spans="2:8">
      <c r="E24" s="56"/>
    </row>
    <row r="25" spans="2:8">
      <c r="E25" s="58"/>
      <c r="F25" s="58"/>
      <c r="G25" s="59"/>
      <c r="H25" s="59"/>
    </row>
  </sheetData>
  <hyperlinks>
    <hyperlink ref="C22:E22" r:id="rId1" display="https://www.mercadopago.com.ar/checkout/v1/redirect?pref_id=571798344-1b8f7faf-1f0b-4451-859d-a648a4873656" xr:uid="{3D2EAD7B-EC27-42EC-A547-D71A09847890}"/>
    <hyperlink ref="C24:E24" r:id="rId2" display="https://www.mercadopago.com.ar/checkout/v1/redirect?pref_id=571798344-1dca53f1-75d0-4dd2-bb33-864f773c6465" xr:uid="{0829592F-53D0-4E7C-8517-CE3560DA5071}"/>
  </hyperlinks>
  <pageMargins left="0.7" right="0.7" top="0.75" bottom="0.75" header="0.3" footer="0.3"/>
  <pageSetup orientation="portrait" horizontalDpi="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C5F50-8085-4AED-AAC0-1FB578B0EB02}">
  <sheetPr codeName="Hoja10">
    <tabColor theme="4"/>
  </sheetPr>
  <dimension ref="B1:M22"/>
  <sheetViews>
    <sheetView zoomScaleNormal="100" workbookViewId="0">
      <selection activeCell="D10" sqref="D10"/>
    </sheetView>
  </sheetViews>
  <sheetFormatPr baseColWidth="10" defaultColWidth="10.8984375" defaultRowHeight="15.6"/>
  <cols>
    <col min="1" max="1" width="2.19921875" customWidth="1"/>
    <col min="2" max="2" width="9" bestFit="1" customWidth="1"/>
    <col min="3" max="3" width="30.09765625" bestFit="1" customWidth="1"/>
    <col min="4" max="4" width="9.19921875" bestFit="1" customWidth="1"/>
    <col min="5" max="5" width="11" customWidth="1"/>
    <col min="6" max="6" width="12" bestFit="1" customWidth="1"/>
    <col min="7" max="7" width="4.8984375" customWidth="1"/>
  </cols>
  <sheetData>
    <row r="1" spans="2:13" ht="3.75" customHeight="1"/>
    <row r="3" spans="2:13">
      <c r="B3" t="s">
        <v>31</v>
      </c>
      <c r="C3" s="121">
        <f ca="1">TODAY()</f>
        <v>45663</v>
      </c>
      <c r="D3" s="121"/>
      <c r="E3" s="121"/>
      <c r="F3" s="121"/>
    </row>
    <row r="4" spans="2:13">
      <c r="B4" t="s">
        <v>32</v>
      </c>
      <c r="C4" s="122" t="s">
        <v>56</v>
      </c>
      <c r="D4" s="123"/>
      <c r="E4" s="123"/>
      <c r="F4" s="123"/>
    </row>
    <row r="5" spans="2:13">
      <c r="B5" t="s">
        <v>33</v>
      </c>
      <c r="C5" s="123" t="s">
        <v>57</v>
      </c>
      <c r="D5" s="123"/>
      <c r="E5" s="123"/>
      <c r="F5" s="123"/>
      <c r="K5" s="12"/>
    </row>
    <row r="6" spans="2:13">
      <c r="B6" t="s">
        <v>34</v>
      </c>
      <c r="C6" s="123" t="s">
        <v>58</v>
      </c>
      <c r="D6" s="123"/>
      <c r="E6" s="123"/>
      <c r="F6" s="123"/>
      <c r="M6" s="12"/>
    </row>
    <row r="7" spans="2:13">
      <c r="B7" t="s">
        <v>59</v>
      </c>
      <c r="C7" s="123">
        <v>71937447</v>
      </c>
      <c r="D7" s="123"/>
      <c r="E7" s="123"/>
      <c r="F7" s="123"/>
    </row>
    <row r="8" spans="2:13">
      <c r="H8" s="12"/>
      <c r="I8" s="1"/>
    </row>
    <row r="9" spans="2:13" s="5" customFormat="1" ht="14.4">
      <c r="B9" s="2" t="s">
        <v>16</v>
      </c>
      <c r="C9" s="3" t="s">
        <v>35</v>
      </c>
      <c r="D9" s="3" t="s">
        <v>38</v>
      </c>
      <c r="E9" s="3" t="s">
        <v>36</v>
      </c>
      <c r="F9" s="4" t="s">
        <v>30</v>
      </c>
      <c r="G9" s="6"/>
      <c r="H9" s="6"/>
    </row>
    <row r="10" spans="2:13">
      <c r="B10" s="7"/>
      <c r="C10" s="1"/>
      <c r="D10" s="8"/>
      <c r="E10" s="9">
        <v>0</v>
      </c>
      <c r="F10" s="43">
        <f>E10*D10</f>
        <v>0</v>
      </c>
    </row>
    <row r="11" spans="2:13">
      <c r="B11" s="7"/>
      <c r="C11" s="8"/>
      <c r="D11" s="8"/>
      <c r="E11" s="9">
        <v>0</v>
      </c>
      <c r="F11" s="43">
        <f t="shared" ref="F11:F21" si="0">E11*D11</f>
        <v>0</v>
      </c>
    </row>
    <row r="12" spans="2:13">
      <c r="B12" s="7"/>
      <c r="C12" s="8"/>
      <c r="D12" s="8"/>
      <c r="E12" s="9">
        <v>0</v>
      </c>
      <c r="F12" s="43">
        <f t="shared" si="0"/>
        <v>0</v>
      </c>
    </row>
    <row r="13" spans="2:13">
      <c r="B13" s="7"/>
      <c r="C13" s="8"/>
      <c r="D13" s="8"/>
      <c r="E13" s="9">
        <v>0</v>
      </c>
      <c r="F13" s="43">
        <f t="shared" si="0"/>
        <v>0</v>
      </c>
    </row>
    <row r="14" spans="2:13">
      <c r="B14" s="7"/>
      <c r="C14" s="8"/>
      <c r="D14" s="8"/>
      <c r="E14" s="9">
        <v>0</v>
      </c>
      <c r="F14" s="43">
        <f t="shared" si="0"/>
        <v>0</v>
      </c>
      <c r="L14" s="12"/>
    </row>
    <row r="15" spans="2:13">
      <c r="B15" s="7"/>
      <c r="C15" s="8"/>
      <c r="D15" s="8"/>
      <c r="E15" s="9">
        <v>0</v>
      </c>
      <c r="F15" s="43">
        <f t="shared" si="0"/>
        <v>0</v>
      </c>
    </row>
    <row r="16" spans="2:13">
      <c r="B16" s="10"/>
      <c r="C16" s="8"/>
      <c r="D16" s="8"/>
      <c r="E16" s="9">
        <v>0</v>
      </c>
      <c r="F16" s="43">
        <f t="shared" si="0"/>
        <v>0</v>
      </c>
    </row>
    <row r="17" spans="2:8">
      <c r="B17" s="10"/>
      <c r="C17" s="8"/>
      <c r="D17" s="8"/>
      <c r="E17" s="9">
        <v>0</v>
      </c>
      <c r="F17" s="43">
        <f t="shared" si="0"/>
        <v>0</v>
      </c>
    </row>
    <row r="18" spans="2:8">
      <c r="B18" s="7"/>
      <c r="C18" s="8"/>
      <c r="D18" s="8"/>
      <c r="E18" s="9">
        <v>0</v>
      </c>
      <c r="F18" s="43">
        <f t="shared" si="0"/>
        <v>0</v>
      </c>
    </row>
    <row r="19" spans="2:8">
      <c r="B19" s="7"/>
      <c r="C19" s="8"/>
      <c r="D19" s="8"/>
      <c r="E19" s="9">
        <v>0</v>
      </c>
      <c r="F19" s="43">
        <f t="shared" si="0"/>
        <v>0</v>
      </c>
    </row>
    <row r="20" spans="2:8">
      <c r="B20" s="7"/>
      <c r="C20" s="8"/>
      <c r="D20" s="8"/>
      <c r="E20" s="9">
        <v>0</v>
      </c>
      <c r="F20" s="43">
        <f t="shared" si="0"/>
        <v>0</v>
      </c>
    </row>
    <row r="21" spans="2:8">
      <c r="B21" s="8"/>
      <c r="C21" s="8"/>
      <c r="D21" s="8"/>
      <c r="E21" s="9">
        <v>0</v>
      </c>
      <c r="F21" s="43">
        <f t="shared" si="0"/>
        <v>0</v>
      </c>
      <c r="H21" s="12"/>
    </row>
    <row r="22" spans="2:8">
      <c r="C22" s="11" t="s">
        <v>37</v>
      </c>
      <c r="D22" s="42">
        <f>SUM(D10:D21)</f>
        <v>0</v>
      </c>
      <c r="E22" s="11" t="s">
        <v>30</v>
      </c>
      <c r="F22" s="43">
        <f>SUM(F10:F21)</f>
        <v>0</v>
      </c>
    </row>
  </sheetData>
  <mergeCells count="5">
    <mergeCell ref="C3:F3"/>
    <mergeCell ref="C4:F4"/>
    <mergeCell ref="C5:F5"/>
    <mergeCell ref="C6:F6"/>
    <mergeCell ref="C7:F7"/>
  </mergeCells>
  <phoneticPr fontId="3" type="noConversion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A4A38-E247-E64E-A364-B0186829FD9B}">
  <sheetPr codeName="Hoja2">
    <tabColor rgb="FFFF0000"/>
  </sheetPr>
  <dimension ref="A1:H10"/>
  <sheetViews>
    <sheetView zoomScaleNormal="100" zoomScaleSheetLayoutView="80" workbookViewId="0">
      <pane xSplit="9" ySplit="6" topLeftCell="J7" activePane="bottomRight" state="frozen"/>
      <selection pane="topRight" activeCell="J1" sqref="J1"/>
      <selection pane="bottomLeft" activeCell="A7" sqref="A7"/>
      <selection pane="bottomRight"/>
    </sheetView>
  </sheetViews>
  <sheetFormatPr baseColWidth="10" defaultColWidth="10.8984375" defaultRowHeight="13.2"/>
  <cols>
    <col min="1" max="1" width="9.3984375" style="17" bestFit="1" customWidth="1"/>
    <col min="2" max="2" width="47.5" style="18" bestFit="1" customWidth="1"/>
    <col min="3" max="3" width="17.69921875" style="76" customWidth="1"/>
    <col min="4" max="4" width="17.69921875" style="79" customWidth="1"/>
    <col min="5" max="5" width="15" style="19" customWidth="1"/>
    <col min="6" max="6" width="17.8984375" style="19" bestFit="1" customWidth="1"/>
    <col min="7" max="7" width="16" style="19" bestFit="1" customWidth="1"/>
    <col min="8" max="8" width="12.59765625" style="79" bestFit="1" customWidth="1"/>
    <col min="9" max="9" width="12.5" style="18" customWidth="1"/>
    <col min="10" max="16384" width="10.8984375" style="18"/>
  </cols>
  <sheetData>
    <row r="1" spans="1:8" ht="19.8" customHeight="1" thickBot="1">
      <c r="F1" s="124" t="s">
        <v>27</v>
      </c>
      <c r="G1" s="124"/>
      <c r="H1" s="83"/>
    </row>
    <row r="2" spans="1:8" ht="18.600000000000001" customHeight="1" thickBot="1">
      <c r="F2" s="20" t="s">
        <v>28</v>
      </c>
      <c r="G2" s="22">
        <v>0.1</v>
      </c>
      <c r="H2" s="83" t="s">
        <v>39</v>
      </c>
    </row>
    <row r="3" spans="1:8" ht="24" customHeight="1" thickBot="1">
      <c r="F3" s="21" t="s">
        <v>29</v>
      </c>
      <c r="G3" s="105">
        <v>100</v>
      </c>
      <c r="H3" s="83" t="s">
        <v>40</v>
      </c>
    </row>
    <row r="4" spans="1:8" ht="21.6" customHeight="1" thickBot="1">
      <c r="F4" s="21" t="s">
        <v>20</v>
      </c>
      <c r="G4" s="106">
        <f>G3*G2</f>
        <v>10</v>
      </c>
      <c r="H4" s="83"/>
    </row>
    <row r="5" spans="1:8" ht="22.2" customHeight="1" thickBot="1">
      <c r="F5" s="21" t="s">
        <v>30</v>
      </c>
      <c r="G5" s="106">
        <f>G3+G4</f>
        <v>110</v>
      </c>
      <c r="H5" s="83"/>
    </row>
    <row r="6" spans="1:8" ht="22.2" customHeight="1">
      <c r="A6" s="60" t="s">
        <v>16</v>
      </c>
      <c r="B6" s="61" t="s">
        <v>0</v>
      </c>
      <c r="C6" s="77" t="s">
        <v>1</v>
      </c>
      <c r="D6" s="80" t="s">
        <v>2</v>
      </c>
      <c r="E6" s="62" t="s">
        <v>5</v>
      </c>
      <c r="F6" s="62" t="s">
        <v>6</v>
      </c>
      <c r="G6" s="63" t="s">
        <v>4</v>
      </c>
      <c r="H6" s="84" t="s">
        <v>3</v>
      </c>
    </row>
    <row r="7" spans="1:8">
      <c r="A7" s="15" t="str">
        <f>TEXT(ROW(A7),"0000")</f>
        <v>0007</v>
      </c>
      <c r="B7" s="16" t="s">
        <v>44</v>
      </c>
      <c r="C7" s="78">
        <v>1</v>
      </c>
      <c r="D7" s="81">
        <v>1.5</v>
      </c>
      <c r="E7" s="44">
        <f>SUMIF(tabla_compras[CODIGO],tabla_productos[[#This Row],[CODIGO]],tabla_compras[CANT.])</f>
        <v>10</v>
      </c>
      <c r="F7" s="45">
        <f>SUMIF(tabla_ventas[CODIGO],tabla_productos[[#This Row],[CODIGO]],tabla_ventas[CANT.])</f>
        <v>5</v>
      </c>
      <c r="G7" s="46">
        <f>tabla_productos[[#This Row],[ENTRADAS]]-tabla_productos[[#This Row],[SALIDAS]]</f>
        <v>5</v>
      </c>
      <c r="H7" s="85">
        <f>SUM(C7*G7)</f>
        <v>5</v>
      </c>
    </row>
    <row r="8" spans="1:8">
      <c r="A8" s="86" t="str">
        <f>TEXT(ROW(A8),"0000")</f>
        <v>0008</v>
      </c>
      <c r="B8" s="87" t="s">
        <v>45</v>
      </c>
      <c r="C8" s="88">
        <v>2</v>
      </c>
      <c r="D8" s="89">
        <v>2.5</v>
      </c>
      <c r="E8" s="45">
        <f>SUMIF(tabla_compras[CODIGO],tabla_productos[[#This Row],[CODIGO]],tabla_compras[CANT.])</f>
        <v>10</v>
      </c>
      <c r="F8" s="45">
        <f>SUMIF(tabla_ventas[CODIGO],tabla_productos[[#This Row],[CODIGO]],tabla_ventas[CANT.])</f>
        <v>0</v>
      </c>
      <c r="G8" s="45">
        <f>tabla_productos[[#This Row],[ENTRADAS]]-tabla_productos[[#This Row],[SALIDAS]]</f>
        <v>10</v>
      </c>
      <c r="H8" s="90">
        <f>SUM(C8*G8)</f>
        <v>20</v>
      </c>
    </row>
    <row r="9" spans="1:8">
      <c r="A9" s="86" t="str">
        <f>TEXT(ROW(A9),"0000")</f>
        <v>0009</v>
      </c>
      <c r="B9" s="87" t="s">
        <v>46</v>
      </c>
      <c r="C9" s="88">
        <v>3.5</v>
      </c>
      <c r="D9" s="89">
        <v>4</v>
      </c>
      <c r="E9" s="45">
        <f>SUMIF(tabla_compras[CODIGO],tabla_productos[[#This Row],[CODIGO]],tabla_compras[CANT.])</f>
        <v>10</v>
      </c>
      <c r="F9" s="45">
        <f>SUMIF(tabla_ventas[CODIGO],tabla_productos[[#This Row],[CODIGO]],tabla_ventas[CANT.])</f>
        <v>0</v>
      </c>
      <c r="G9" s="45">
        <f>tabla_productos[[#This Row],[ENTRADAS]]-tabla_productos[[#This Row],[SALIDAS]]</f>
        <v>10</v>
      </c>
      <c r="H9" s="90">
        <f>SUM(C9*G9)</f>
        <v>35</v>
      </c>
    </row>
    <row r="10" spans="1:8">
      <c r="A10" s="86" t="str">
        <f>TEXT(ROW(A10),"0000")</f>
        <v>0010</v>
      </c>
      <c r="B10" s="87" t="s">
        <v>47</v>
      </c>
      <c r="C10" s="88">
        <v>5.5</v>
      </c>
      <c r="D10" s="89">
        <v>6</v>
      </c>
      <c r="E10" s="45">
        <f>SUMIF(tabla_compras[CODIGO],tabla_productos[[#This Row],[CODIGO]],tabla_compras[CANT.])</f>
        <v>10</v>
      </c>
      <c r="F10" s="45">
        <f>SUMIF(tabla_ventas[CODIGO],tabla_productos[[#This Row],[CODIGO]],tabla_ventas[CANT.])</f>
        <v>0</v>
      </c>
      <c r="G10" s="45">
        <f>tabla_productos[[#This Row],[ENTRADAS]]-tabla_productos[[#This Row],[SALIDAS]]</f>
        <v>10</v>
      </c>
      <c r="H10" s="90">
        <f>SUM(C10*G10)</f>
        <v>55</v>
      </c>
    </row>
  </sheetData>
  <mergeCells count="1">
    <mergeCell ref="F1:G1"/>
  </mergeCells>
  <phoneticPr fontId="3" type="noConversion"/>
  <conditionalFormatting sqref="G7:G10">
    <cfRule type="colorScale" priority="1">
      <colorScale>
        <cfvo type="num" val="0"/>
        <cfvo type="num" val="2"/>
        <cfvo type="num" val="4"/>
        <color rgb="FFFF7128"/>
        <color rgb="FFFFEB84"/>
        <color theme="9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CB245-0931-F543-B294-C65124E8DC25}">
  <sheetPr codeName="Hoja4">
    <tabColor theme="4"/>
  </sheetPr>
  <dimension ref="A5:K21"/>
  <sheetViews>
    <sheetView zoomScaleNormal="100" workbookViewId="0"/>
  </sheetViews>
  <sheetFormatPr baseColWidth="10" defaultColWidth="10.8984375" defaultRowHeight="13.2"/>
  <cols>
    <col min="1" max="1" width="0.3984375" style="23" customWidth="1"/>
    <col min="2" max="2" width="8.8984375" style="25" bestFit="1" customWidth="1"/>
    <col min="3" max="3" width="9.3984375" style="23" bestFit="1" customWidth="1"/>
    <col min="4" max="4" width="36.5" style="23" customWidth="1"/>
    <col min="5" max="5" width="13.3984375" style="23" bestFit="1" customWidth="1"/>
    <col min="6" max="6" width="8.69921875" style="23" customWidth="1"/>
    <col min="7" max="7" width="12.09765625" style="95" customWidth="1"/>
    <col min="8" max="9" width="10.59765625" style="95" customWidth="1"/>
    <col min="10" max="10" width="9.5" style="95" customWidth="1"/>
    <col min="11" max="11" width="33.19921875" style="23" customWidth="1"/>
    <col min="12" max="16384" width="10.8984375" style="23"/>
  </cols>
  <sheetData>
    <row r="5" spans="1:11" ht="15.75" customHeight="1">
      <c r="B5" s="125" t="s">
        <v>7</v>
      </c>
      <c r="C5" s="126"/>
      <c r="D5" s="41"/>
    </row>
    <row r="6" spans="1:11" ht="15.75" customHeight="1">
      <c r="B6" s="125" t="s">
        <v>16</v>
      </c>
      <c r="C6" s="126"/>
      <c r="D6" s="24"/>
      <c r="K6" s="25"/>
    </row>
    <row r="7" spans="1:11" ht="15.75" customHeight="1">
      <c r="B7" s="125" t="s">
        <v>0</v>
      </c>
      <c r="C7" s="126"/>
      <c r="D7" s="47" t="str">
        <f>IFERROR(VLOOKUP(D6,tabla_productos[],2,FALSE),"")</f>
        <v/>
      </c>
    </row>
    <row r="8" spans="1:11" ht="15.75" customHeight="1">
      <c r="A8" s="26"/>
      <c r="B8" s="125" t="s">
        <v>8</v>
      </c>
      <c r="C8" s="126"/>
      <c r="D8" s="48"/>
    </row>
    <row r="9" spans="1:11" ht="15.75" customHeight="1">
      <c r="B9" s="125" t="s">
        <v>9</v>
      </c>
      <c r="C9" s="126"/>
      <c r="D9" s="16"/>
    </row>
    <row r="10" spans="1:11" ht="15.75" customHeight="1">
      <c r="B10" s="125" t="s">
        <v>10</v>
      </c>
      <c r="C10" s="126"/>
      <c r="D10" s="49" t="str">
        <f>IFERROR(VLOOKUP(D6,tabla_productos[],3,FALSE),"")</f>
        <v/>
      </c>
    </row>
    <row r="11" spans="1:11" ht="15.75" customHeight="1">
      <c r="B11" s="125" t="s">
        <v>11</v>
      </c>
      <c r="C11" s="126"/>
      <c r="D11" s="49" t="str">
        <f>IFERROR(VLOOKUP(D6,tabla_productos[],4,FALSE),"")</f>
        <v/>
      </c>
    </row>
    <row r="12" spans="1:11" ht="15.75" customHeight="1">
      <c r="B12" s="125" t="s">
        <v>12</v>
      </c>
      <c r="C12" s="126"/>
      <c r="D12" s="49" t="str">
        <f>IFERROR(IF(D8="COMPRA",D10*D9,D11*D9),"")</f>
        <v/>
      </c>
    </row>
    <row r="13" spans="1:11" ht="15.75" customHeight="1">
      <c r="B13" s="125" t="s">
        <v>13</v>
      </c>
      <c r="C13" s="126"/>
      <c r="D13" s="27"/>
    </row>
    <row r="16" spans="1:11" ht="26.4">
      <c r="B16" s="64" t="s">
        <v>7</v>
      </c>
      <c r="C16" s="65" t="s">
        <v>16</v>
      </c>
      <c r="D16" s="66" t="s">
        <v>0</v>
      </c>
      <c r="E16" s="66" t="s">
        <v>8</v>
      </c>
      <c r="F16" s="66" t="s">
        <v>41</v>
      </c>
      <c r="G16" s="96" t="s">
        <v>1</v>
      </c>
      <c r="H16" s="96" t="s">
        <v>2</v>
      </c>
      <c r="I16" s="96" t="s">
        <v>14</v>
      </c>
      <c r="J16" s="98" t="s">
        <v>15</v>
      </c>
      <c r="K16" s="67" t="s">
        <v>13</v>
      </c>
    </row>
    <row r="17" spans="2:11">
      <c r="B17" s="28">
        <v>45663</v>
      </c>
      <c r="C17" s="29" t="s">
        <v>48</v>
      </c>
      <c r="D17" s="30" t="s">
        <v>44</v>
      </c>
      <c r="E17" s="30" t="s">
        <v>54</v>
      </c>
      <c r="F17" s="30">
        <v>5</v>
      </c>
      <c r="G17" s="97">
        <v>1</v>
      </c>
      <c r="H17" s="97">
        <v>1.5</v>
      </c>
      <c r="I17" s="97" t="str">
        <f>IF(tabla_movimientos[[#This Row],[MOVIMIENTO]]="COMPRA",tabla_movimientos[[#This Row],[CANT.]]*tabla_movimientos[[#This Row],[PRECIO COMPRA]],"")</f>
        <v/>
      </c>
      <c r="J17" s="99">
        <f>IF(tabla_movimientos[[#This Row],[MOVIMIENTO]]="VENTA",tabla_movimientos[[#This Row],[CANT.]]*tabla_movimientos[[#This Row],[PRECIO VENTA]],"")</f>
        <v>7.5</v>
      </c>
      <c r="K17" s="31" t="s">
        <v>55</v>
      </c>
    </row>
    <row r="18" spans="2:11">
      <c r="B18" s="28">
        <v>45663</v>
      </c>
      <c r="C18" s="29" t="s">
        <v>53</v>
      </c>
      <c r="D18" s="30" t="s">
        <v>47</v>
      </c>
      <c r="E18" s="30" t="s">
        <v>49</v>
      </c>
      <c r="F18" s="30">
        <v>10</v>
      </c>
      <c r="G18" s="97">
        <v>5.5</v>
      </c>
      <c r="H18" s="97">
        <v>6</v>
      </c>
      <c r="I18" s="97">
        <f>IF(tabla_movimientos[[#This Row],[MOVIMIENTO]]="COMPRA",tabla_movimientos[[#This Row],[CANT.]]*tabla_movimientos[[#This Row],[PRECIO COMPRA]],"")</f>
        <v>55</v>
      </c>
      <c r="J18" s="99" t="str">
        <f>IF(tabla_movimientos[[#This Row],[MOVIMIENTO]]="VENTA",tabla_movimientos[[#This Row],[CANT.]]*tabla_movimientos[[#This Row],[PRECIO VENTA]],"")</f>
        <v/>
      </c>
      <c r="K18" s="31" t="s">
        <v>50</v>
      </c>
    </row>
    <row r="19" spans="2:11">
      <c r="B19" s="28">
        <v>45663</v>
      </c>
      <c r="C19" s="29" t="s">
        <v>52</v>
      </c>
      <c r="D19" s="30" t="s">
        <v>46</v>
      </c>
      <c r="E19" s="30" t="s">
        <v>49</v>
      </c>
      <c r="F19" s="30">
        <v>10</v>
      </c>
      <c r="G19" s="97">
        <v>3.5</v>
      </c>
      <c r="H19" s="97">
        <v>4</v>
      </c>
      <c r="I19" s="97">
        <f>IF(tabla_movimientos[[#This Row],[MOVIMIENTO]]="COMPRA",tabla_movimientos[[#This Row],[CANT.]]*tabla_movimientos[[#This Row],[PRECIO COMPRA]],"")</f>
        <v>35</v>
      </c>
      <c r="J19" s="99" t="str">
        <f>IF(tabla_movimientos[[#This Row],[MOVIMIENTO]]="VENTA",tabla_movimientos[[#This Row],[CANT.]]*tabla_movimientos[[#This Row],[PRECIO VENTA]],"")</f>
        <v/>
      </c>
      <c r="K19" s="31" t="s">
        <v>50</v>
      </c>
    </row>
    <row r="20" spans="2:11">
      <c r="B20" s="28">
        <v>45663</v>
      </c>
      <c r="C20" s="29" t="s">
        <v>51</v>
      </c>
      <c r="D20" s="30" t="s">
        <v>45</v>
      </c>
      <c r="E20" s="30" t="s">
        <v>49</v>
      </c>
      <c r="F20" s="30">
        <v>10</v>
      </c>
      <c r="G20" s="97">
        <v>2</v>
      </c>
      <c r="H20" s="97">
        <v>2.5</v>
      </c>
      <c r="I20" s="97">
        <f>IF(tabla_movimientos[[#This Row],[MOVIMIENTO]]="COMPRA",tabla_movimientos[[#This Row],[CANT.]]*tabla_movimientos[[#This Row],[PRECIO COMPRA]],"")</f>
        <v>20</v>
      </c>
      <c r="J20" s="99" t="str">
        <f>IF(tabla_movimientos[[#This Row],[MOVIMIENTO]]="VENTA",tabla_movimientos[[#This Row],[CANT.]]*tabla_movimientos[[#This Row],[PRECIO VENTA]],"")</f>
        <v/>
      </c>
      <c r="K20" s="31" t="s">
        <v>50</v>
      </c>
    </row>
    <row r="21" spans="2:11">
      <c r="B21" s="28">
        <v>45663</v>
      </c>
      <c r="C21" s="29" t="s">
        <v>48</v>
      </c>
      <c r="D21" s="30" t="s">
        <v>44</v>
      </c>
      <c r="E21" s="30" t="s">
        <v>49</v>
      </c>
      <c r="F21" s="30">
        <v>10</v>
      </c>
      <c r="G21" s="97">
        <v>1</v>
      </c>
      <c r="H21" s="97">
        <v>1.5</v>
      </c>
      <c r="I21" s="97">
        <f>IF(tabla_movimientos[[#This Row],[MOVIMIENTO]]="COMPRA",tabla_movimientos[[#This Row],[CANT.]]*tabla_movimientos[[#This Row],[PRECIO COMPRA]],"")</f>
        <v>10</v>
      </c>
      <c r="J21" s="99" t="str">
        <f>IF(tabla_movimientos[[#This Row],[MOVIMIENTO]]="VENTA",tabla_movimientos[[#This Row],[CANT.]]*tabla_movimientos[[#This Row],[PRECIO VENTA]],"")</f>
        <v/>
      </c>
      <c r="K21" s="31" t="s">
        <v>50</v>
      </c>
    </row>
  </sheetData>
  <sheetProtection formatCells="0" formatColumns="0" formatRows="0" insertColumns="0" insertRows="0"/>
  <mergeCells count="9">
    <mergeCell ref="B11:C11"/>
    <mergeCell ref="B12:C12"/>
    <mergeCell ref="B13:C13"/>
    <mergeCell ref="B5:C5"/>
    <mergeCell ref="B6:C6"/>
    <mergeCell ref="B7:C7"/>
    <mergeCell ref="B8:C8"/>
    <mergeCell ref="B9:C9"/>
    <mergeCell ref="B10:C10"/>
  </mergeCells>
  <dataValidations count="4">
    <dataValidation type="list" allowBlank="1" showInputMessage="1" showErrorMessage="1" sqref="D7" xr:uid="{070B321B-7538-714C-9566-7CCC540F5D74}">
      <formula1>LISTA_PRODUCTOS</formula1>
    </dataValidation>
    <dataValidation allowBlank="1" showDropDown="1" showInputMessage="1" showErrorMessage="1" sqref="D8" xr:uid="{512F664C-4025-DB47-BE6E-B16E6A909C44}"/>
    <dataValidation type="list" allowBlank="1" showInputMessage="1" showErrorMessage="1" sqref="D6" xr:uid="{A64DE1E8-E467-7242-BA5B-B2720D273724}">
      <formula1>lista_codigos</formula1>
    </dataValidation>
    <dataValidation type="whole" allowBlank="1" showInputMessage="1" showErrorMessage="1" sqref="D9" xr:uid="{47C6C53C-0397-4314-9913-049A1A2F7FF5}">
      <formula1>0</formula1>
      <formula2>99999999999</formula2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2AD00-EFA8-1245-B765-8843F4916AB9}">
  <sheetPr codeName="Hoja3">
    <tabColor rgb="FFFF0000"/>
  </sheetPr>
  <dimension ref="A2:J9"/>
  <sheetViews>
    <sheetView zoomScaleNormal="100" workbookViewId="0"/>
  </sheetViews>
  <sheetFormatPr baseColWidth="10" defaultColWidth="10.8984375" defaultRowHeight="13.2"/>
  <cols>
    <col min="1" max="1" width="8.8984375" style="32" bestFit="1" customWidth="1"/>
    <col min="2" max="2" width="9.3984375" style="33" bestFit="1" customWidth="1"/>
    <col min="3" max="3" width="37.09765625" style="33" customWidth="1"/>
    <col min="4" max="4" width="13.3984375" style="33" bestFit="1" customWidth="1"/>
    <col min="5" max="5" width="7.69921875" style="33" bestFit="1" customWidth="1"/>
    <col min="6" max="7" width="9.8984375" style="34" customWidth="1"/>
    <col min="8" max="8" width="9.8984375" style="33" customWidth="1"/>
    <col min="9" max="9" width="30.59765625" style="33" customWidth="1"/>
    <col min="10" max="10" width="12.3984375" style="33" bestFit="1" customWidth="1"/>
    <col min="11" max="16384" width="10.8984375" style="23"/>
  </cols>
  <sheetData>
    <row r="2" spans="1:10">
      <c r="I2" s="35"/>
    </row>
    <row r="7" spans="1:10" s="36" customFormat="1" ht="26.4">
      <c r="A7" s="68" t="s">
        <v>7</v>
      </c>
      <c r="B7" s="69" t="s">
        <v>16</v>
      </c>
      <c r="C7" s="69" t="s">
        <v>0</v>
      </c>
      <c r="D7" s="69" t="s">
        <v>8</v>
      </c>
      <c r="E7" s="69" t="s">
        <v>41</v>
      </c>
      <c r="F7" s="70" t="s">
        <v>1</v>
      </c>
      <c r="G7" s="70" t="s">
        <v>2</v>
      </c>
      <c r="H7" s="69" t="s">
        <v>15</v>
      </c>
      <c r="I7" s="71" t="s">
        <v>13</v>
      </c>
      <c r="J7" s="69" t="s">
        <v>21</v>
      </c>
    </row>
    <row r="8" spans="1:10" s="36" customFormat="1">
      <c r="A8" s="91">
        <v>45663</v>
      </c>
      <c r="B8" s="92" t="s">
        <v>48</v>
      </c>
      <c r="C8" s="92" t="s">
        <v>44</v>
      </c>
      <c r="D8" s="92" t="s">
        <v>54</v>
      </c>
      <c r="E8" s="92">
        <v>5</v>
      </c>
      <c r="F8" s="93">
        <v>1</v>
      </c>
      <c r="G8" s="93">
        <v>1.5</v>
      </c>
      <c r="H8" s="94">
        <f>G8*E8</f>
        <v>7.5</v>
      </c>
      <c r="I8" s="92" t="s">
        <v>55</v>
      </c>
      <c r="J8" s="92">
        <f>(G8-F8)*E8</f>
        <v>2.5</v>
      </c>
    </row>
    <row r="9" spans="1:10">
      <c r="H9" s="82">
        <f>G9*E9</f>
        <v>0</v>
      </c>
      <c r="J9" s="33">
        <f>(G9-F9)*E9</f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FDC3B-4372-834F-A2BA-68E34729F04C}">
  <sheetPr codeName="Hoja9">
    <tabColor theme="4"/>
  </sheetPr>
  <dimension ref="A1:H19"/>
  <sheetViews>
    <sheetView zoomScaleNormal="100" workbookViewId="0">
      <selection activeCell="C31" sqref="C31"/>
    </sheetView>
  </sheetViews>
  <sheetFormatPr baseColWidth="10" defaultColWidth="10.8984375" defaultRowHeight="13.2"/>
  <cols>
    <col min="1" max="1" width="9.8984375" style="40" bestFit="1" customWidth="1"/>
    <col min="2" max="2" width="9.3984375" style="38" bestFit="1" customWidth="1"/>
    <col min="3" max="3" width="42.3984375" style="38" customWidth="1"/>
    <col min="4" max="4" width="13.3984375" style="38" bestFit="1" customWidth="1"/>
    <col min="5" max="5" width="7.69921875" style="39" bestFit="1" customWidth="1"/>
    <col min="6" max="6" width="11.8984375" style="39" customWidth="1"/>
    <col min="7" max="7" width="11.8984375" style="100" customWidth="1"/>
    <col min="8" max="8" width="31.19921875" style="37" customWidth="1"/>
    <col min="9" max="16384" width="10.8984375" style="37"/>
  </cols>
  <sheetData>
    <row r="1" spans="1:8" s="23" customFormat="1">
      <c r="A1" s="33"/>
      <c r="B1" s="33"/>
      <c r="C1" s="33"/>
      <c r="D1" s="33"/>
      <c r="E1" s="39"/>
      <c r="F1" s="39"/>
      <c r="G1" s="100"/>
    </row>
    <row r="2" spans="1:8" s="23" customFormat="1">
      <c r="A2" s="33"/>
      <c r="B2" s="33"/>
      <c r="C2" s="33"/>
      <c r="D2" s="33"/>
      <c r="E2" s="39"/>
      <c r="F2" s="39"/>
      <c r="G2" s="100"/>
    </row>
    <row r="3" spans="1:8" s="23" customFormat="1">
      <c r="A3" s="33"/>
      <c r="B3" s="33"/>
      <c r="C3" s="33"/>
      <c r="D3" s="33"/>
      <c r="E3" s="39"/>
      <c r="F3" s="39"/>
      <c r="G3" s="100"/>
    </row>
    <row r="4" spans="1:8" s="23" customFormat="1">
      <c r="A4" s="33"/>
      <c r="B4" s="33"/>
      <c r="C4" s="33"/>
      <c r="D4" s="33"/>
      <c r="E4" s="39"/>
      <c r="F4" s="39"/>
      <c r="G4" s="100"/>
    </row>
    <row r="5" spans="1:8" s="23" customFormat="1">
      <c r="A5" s="33"/>
      <c r="B5" s="33"/>
      <c r="C5" s="33"/>
      <c r="D5" s="33"/>
      <c r="E5" s="39"/>
      <c r="F5" s="39"/>
      <c r="G5" s="100"/>
    </row>
    <row r="6" spans="1:8" s="23" customFormat="1">
      <c r="A6" s="33"/>
      <c r="B6" s="33"/>
      <c r="C6" s="33"/>
      <c r="D6" s="33"/>
      <c r="E6" s="39"/>
      <c r="F6" s="39"/>
      <c r="G6" s="100"/>
    </row>
    <row r="7" spans="1:8" s="23" customFormat="1" ht="26.4">
      <c r="A7" s="72" t="s">
        <v>7</v>
      </c>
      <c r="B7" s="73" t="s">
        <v>16</v>
      </c>
      <c r="C7" s="74" t="s">
        <v>0</v>
      </c>
      <c r="D7" s="73" t="s">
        <v>8</v>
      </c>
      <c r="E7" s="73" t="s">
        <v>41</v>
      </c>
      <c r="F7" s="73" t="s">
        <v>1</v>
      </c>
      <c r="G7" s="101" t="s">
        <v>14</v>
      </c>
      <c r="H7" s="75" t="s">
        <v>13</v>
      </c>
    </row>
    <row r="8" spans="1:8" s="23" customFormat="1">
      <c r="A8" s="53">
        <v>45663</v>
      </c>
      <c r="B8" s="50" t="s">
        <v>53</v>
      </c>
      <c r="C8" s="51" t="s">
        <v>47</v>
      </c>
      <c r="D8" s="50" t="s">
        <v>49</v>
      </c>
      <c r="E8" s="50">
        <v>10</v>
      </c>
      <c r="F8" s="50">
        <v>5.5</v>
      </c>
      <c r="G8" s="102">
        <f>F8*E8</f>
        <v>55</v>
      </c>
      <c r="H8" s="52" t="s">
        <v>50</v>
      </c>
    </row>
    <row r="9" spans="1:8" s="23" customFormat="1">
      <c r="A9" s="53">
        <v>45663</v>
      </c>
      <c r="B9" s="50" t="s">
        <v>52</v>
      </c>
      <c r="C9" s="51" t="s">
        <v>46</v>
      </c>
      <c r="D9" s="50" t="s">
        <v>49</v>
      </c>
      <c r="E9" s="50">
        <v>10</v>
      </c>
      <c r="F9" s="50">
        <v>3.5</v>
      </c>
      <c r="G9" s="102">
        <f>F9*E9</f>
        <v>35</v>
      </c>
      <c r="H9" s="52" t="s">
        <v>50</v>
      </c>
    </row>
    <row r="10" spans="1:8" s="23" customFormat="1">
      <c r="A10" s="53">
        <v>45663</v>
      </c>
      <c r="B10" s="50" t="s">
        <v>51</v>
      </c>
      <c r="C10" s="51" t="s">
        <v>45</v>
      </c>
      <c r="D10" s="50" t="s">
        <v>49</v>
      </c>
      <c r="E10" s="50">
        <v>10</v>
      </c>
      <c r="F10" s="50">
        <v>2</v>
      </c>
      <c r="G10" s="102">
        <f>F10*E10</f>
        <v>20</v>
      </c>
      <c r="H10" s="52" t="s">
        <v>50</v>
      </c>
    </row>
    <row r="11" spans="1:8" s="23" customFormat="1">
      <c r="A11" s="53">
        <v>45663</v>
      </c>
      <c r="B11" s="50" t="s">
        <v>48</v>
      </c>
      <c r="C11" s="51" t="s">
        <v>44</v>
      </c>
      <c r="D11" s="50" t="s">
        <v>49</v>
      </c>
      <c r="E11" s="50">
        <v>10</v>
      </c>
      <c r="F11" s="50">
        <v>1</v>
      </c>
      <c r="G11" s="102">
        <f>F11*E11</f>
        <v>10</v>
      </c>
      <c r="H11" s="52" t="s">
        <v>50</v>
      </c>
    </row>
    <row r="12" spans="1:8" s="23" customFormat="1">
      <c r="A12" s="53"/>
      <c r="B12" s="50"/>
      <c r="C12" s="51"/>
      <c r="D12" s="50"/>
      <c r="E12" s="50"/>
      <c r="F12" s="50"/>
      <c r="G12" s="102">
        <f>F12*E12</f>
        <v>0</v>
      </c>
      <c r="H12" s="52"/>
    </row>
    <row r="13" spans="1:8" s="23" customFormat="1">
      <c r="A13" s="40"/>
      <c r="B13" s="38"/>
      <c r="C13" s="38"/>
      <c r="D13" s="38"/>
      <c r="E13" s="39"/>
      <c r="F13" s="39"/>
      <c r="G13" s="100"/>
      <c r="H13" s="37"/>
    </row>
    <row r="14" spans="1:8" s="23" customFormat="1">
      <c r="A14" s="40"/>
      <c r="B14" s="38"/>
      <c r="C14" s="38"/>
      <c r="D14" s="38"/>
      <c r="E14" s="39"/>
      <c r="F14" s="39"/>
      <c r="G14" s="100"/>
      <c r="H14" s="37"/>
    </row>
    <row r="15" spans="1:8" s="23" customFormat="1">
      <c r="A15" s="40"/>
      <c r="B15" s="38"/>
      <c r="C15" s="38"/>
      <c r="D15" s="38"/>
      <c r="E15" s="39"/>
      <c r="F15" s="39"/>
      <c r="G15" s="100"/>
      <c r="H15" s="37"/>
    </row>
    <row r="16" spans="1:8" s="23" customFormat="1">
      <c r="A16" s="40"/>
      <c r="B16" s="38"/>
      <c r="C16" s="38"/>
      <c r="D16" s="38"/>
      <c r="E16" s="39"/>
      <c r="F16" s="39"/>
      <c r="G16" s="100"/>
      <c r="H16" s="37"/>
    </row>
    <row r="17" spans="1:8" s="23" customFormat="1">
      <c r="A17" s="40"/>
      <c r="B17" s="38"/>
      <c r="C17" s="38"/>
      <c r="D17" s="38"/>
      <c r="E17" s="39"/>
      <c r="F17" s="39"/>
      <c r="G17" s="100"/>
      <c r="H17" s="37"/>
    </row>
    <row r="18" spans="1:8" s="23" customFormat="1">
      <c r="A18" s="40"/>
      <c r="B18" s="38"/>
      <c r="C18" s="38"/>
      <c r="D18" s="38"/>
      <c r="E18" s="39"/>
      <c r="F18" s="39"/>
      <c r="G18" s="100"/>
      <c r="H18" s="37"/>
    </row>
    <row r="19" spans="1:8" s="23" customFormat="1">
      <c r="A19" s="40"/>
      <c r="B19" s="38"/>
      <c r="C19" s="38"/>
      <c r="D19" s="38"/>
      <c r="E19" s="39"/>
      <c r="F19" s="39"/>
      <c r="G19" s="100"/>
      <c r="H19" s="37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AFD36-39A6-B944-A158-2BD6B058B425}">
  <sheetPr codeName="Hoja5">
    <tabColor rgb="FFFF0000"/>
  </sheetPr>
  <dimension ref="A6:F26"/>
  <sheetViews>
    <sheetView zoomScaleNormal="100" workbookViewId="0">
      <selection activeCell="D14" sqref="D14"/>
    </sheetView>
  </sheetViews>
  <sheetFormatPr baseColWidth="10" defaultColWidth="10.8984375" defaultRowHeight="13.2"/>
  <cols>
    <col min="1" max="1" width="15.5" style="33" bestFit="1" customWidth="1"/>
    <col min="2" max="2" width="9.69921875" style="107" bestFit="1" customWidth="1"/>
    <col min="3" max="3" width="7.69921875" style="107" bestFit="1" customWidth="1"/>
    <col min="4" max="4" width="13.5" style="107" bestFit="1" customWidth="1"/>
    <col min="5" max="5" width="10.19921875" style="107" bestFit="1" customWidth="1"/>
    <col min="6" max="6" width="11.19921875" style="33" bestFit="1" customWidth="1"/>
    <col min="7" max="7" width="19.8984375" style="33" customWidth="1"/>
    <col min="8" max="8" width="30.5" style="33" bestFit="1" customWidth="1"/>
    <col min="9" max="9" width="22.59765625" style="33" bestFit="1" customWidth="1"/>
    <col min="10" max="10" width="27.8984375" style="33" bestFit="1" customWidth="1"/>
    <col min="11" max="11" width="26" style="33" bestFit="1" customWidth="1"/>
    <col min="12" max="12" width="24.3984375" style="33" bestFit="1" customWidth="1"/>
    <col min="13" max="13" width="25.3984375" style="33" bestFit="1" customWidth="1"/>
    <col min="14" max="14" width="30.5" style="33" bestFit="1" customWidth="1"/>
    <col min="15" max="15" width="7.8984375" style="33" bestFit="1" customWidth="1"/>
    <col min="16" max="16" width="20.09765625" style="33" bestFit="1" customWidth="1"/>
    <col min="17" max="17" width="22.59765625" style="33" bestFit="1" customWidth="1"/>
    <col min="18" max="18" width="27.8984375" style="33" bestFit="1" customWidth="1"/>
    <col min="19" max="19" width="26" style="33" bestFit="1" customWidth="1"/>
    <col min="20" max="20" width="24.3984375" style="33" bestFit="1" customWidth="1"/>
    <col min="21" max="21" width="25.3984375" style="33" bestFit="1" customWidth="1"/>
    <col min="22" max="22" width="16.8984375" style="33" bestFit="1" customWidth="1"/>
    <col min="23" max="23" width="12" style="33" bestFit="1" customWidth="1"/>
    <col min="24" max="24" width="17.8984375" style="33" bestFit="1" customWidth="1"/>
    <col min="25" max="25" width="19.5" style="33" bestFit="1" customWidth="1"/>
    <col min="26" max="26" width="11.3984375" style="33" bestFit="1" customWidth="1"/>
    <col min="27" max="27" width="11" style="33" bestFit="1" customWidth="1"/>
    <col min="28" max="28" width="16.8984375" style="33" bestFit="1" customWidth="1"/>
    <col min="29" max="30" width="11" style="33" bestFit="1" customWidth="1"/>
    <col min="31" max="31" width="16.8984375" style="33" bestFit="1" customWidth="1"/>
    <col min="32" max="32" width="11" style="33" bestFit="1" customWidth="1"/>
    <col min="33" max="33" width="16.8984375" style="33" bestFit="1" customWidth="1"/>
    <col min="34" max="34" width="11" style="33" bestFit="1" customWidth="1"/>
    <col min="35" max="35" width="16.8984375" style="33" bestFit="1" customWidth="1"/>
    <col min="36" max="36" width="12" style="33" bestFit="1" customWidth="1"/>
    <col min="37" max="37" width="17.8984375" style="33" bestFit="1" customWidth="1"/>
    <col min="38" max="38" width="20.5" style="33" bestFit="1" customWidth="1"/>
    <col min="39" max="39" width="11.3984375" style="33" bestFit="1" customWidth="1"/>
    <col min="40" max="40" width="11" style="33" bestFit="1" customWidth="1"/>
    <col min="41" max="41" width="16.8984375" style="33" bestFit="1" customWidth="1"/>
    <col min="42" max="43" width="11" style="33" bestFit="1" customWidth="1"/>
    <col min="44" max="44" width="16.8984375" style="33" bestFit="1" customWidth="1"/>
    <col min="45" max="45" width="11" style="33" bestFit="1" customWidth="1"/>
    <col min="46" max="46" width="16.8984375" style="33" bestFit="1" customWidth="1"/>
    <col min="47" max="47" width="11" style="33" bestFit="1" customWidth="1"/>
    <col min="48" max="48" width="16.8984375" style="33" bestFit="1" customWidth="1"/>
    <col min="49" max="49" width="12" style="33" bestFit="1" customWidth="1"/>
    <col min="50" max="50" width="17.8984375" style="33" bestFit="1" customWidth="1"/>
    <col min="51" max="51" width="20.09765625" style="33" bestFit="1" customWidth="1"/>
    <col min="52" max="52" width="22.59765625" style="33" bestFit="1" customWidth="1"/>
    <col min="53" max="53" width="27.8984375" style="33" bestFit="1" customWidth="1"/>
    <col min="54" max="54" width="26" style="33" bestFit="1" customWidth="1"/>
    <col min="55" max="55" width="24.3984375" style="33" bestFit="1" customWidth="1"/>
    <col min="56" max="56" width="25.3984375" style="33" bestFit="1" customWidth="1"/>
    <col min="57" max="16384" width="10.8984375" style="33"/>
  </cols>
  <sheetData>
    <row r="6" spans="1:6">
      <c r="A6" s="117" t="s">
        <v>7</v>
      </c>
      <c r="B6" s="120" t="s">
        <v>19</v>
      </c>
    </row>
    <row r="7" spans="1:6" ht="18" customHeight="1"/>
    <row r="8" spans="1:6" ht="26.4">
      <c r="A8" s="116" t="s">
        <v>17</v>
      </c>
      <c r="B8" s="119" t="s">
        <v>25</v>
      </c>
      <c r="C8" s="119" t="s">
        <v>22</v>
      </c>
      <c r="D8" s="119" t="s">
        <v>23</v>
      </c>
      <c r="E8" s="118" t="s">
        <v>24</v>
      </c>
      <c r="F8" s="14"/>
    </row>
    <row r="9" spans="1:6">
      <c r="A9" s="114" t="s">
        <v>44</v>
      </c>
      <c r="B9" s="115">
        <v>1</v>
      </c>
      <c r="C9" s="115">
        <v>1.5</v>
      </c>
      <c r="D9" s="115">
        <v>7.5</v>
      </c>
      <c r="E9" s="115">
        <v>2.5</v>
      </c>
      <c r="F9" s="14"/>
    </row>
    <row r="10" spans="1:6">
      <c r="A10" s="114" t="s">
        <v>18</v>
      </c>
      <c r="B10" s="115">
        <v>1</v>
      </c>
      <c r="C10" s="115">
        <v>1.5</v>
      </c>
      <c r="D10" s="115">
        <v>7.5</v>
      </c>
      <c r="E10" s="115">
        <v>2.5</v>
      </c>
      <c r="F10" s="14"/>
    </row>
    <row r="11" spans="1:6" ht="15.6">
      <c r="A11"/>
      <c r="B11" s="104"/>
      <c r="C11" s="104"/>
      <c r="D11" s="104"/>
      <c r="E11" s="104"/>
      <c r="F11" s="14"/>
    </row>
    <row r="12" spans="1:6">
      <c r="A12" s="14"/>
      <c r="B12" s="103"/>
      <c r="C12" s="103"/>
      <c r="D12" s="103"/>
      <c r="E12" s="103"/>
      <c r="F12" s="14"/>
    </row>
    <row r="13" spans="1:6">
      <c r="A13" s="14"/>
      <c r="B13" s="103"/>
      <c r="C13" s="103"/>
      <c r="D13" s="103"/>
      <c r="E13" s="103"/>
      <c r="F13" s="14"/>
    </row>
    <row r="14" spans="1:6">
      <c r="A14" s="14"/>
      <c r="B14" s="103"/>
      <c r="C14" s="103"/>
      <c r="D14" s="103"/>
      <c r="E14" s="103"/>
      <c r="F14" s="14"/>
    </row>
    <row r="15" spans="1:6">
      <c r="A15" s="14"/>
      <c r="B15" s="103"/>
      <c r="C15" s="103"/>
      <c r="D15" s="103"/>
      <c r="E15" s="103"/>
      <c r="F15" s="14"/>
    </row>
    <row r="16" spans="1:6">
      <c r="A16" s="14"/>
      <c r="B16" s="103"/>
      <c r="C16" s="103"/>
      <c r="D16" s="103"/>
      <c r="E16" s="103"/>
      <c r="F16" s="14"/>
    </row>
    <row r="17" spans="1:6">
      <c r="A17" s="14"/>
      <c r="B17" s="103"/>
      <c r="C17" s="103"/>
      <c r="D17" s="103"/>
      <c r="E17" s="103"/>
      <c r="F17" s="14"/>
    </row>
    <row r="18" spans="1:6">
      <c r="A18" s="14"/>
      <c r="B18" s="103"/>
      <c r="C18" s="103"/>
      <c r="D18" s="103"/>
      <c r="E18" s="103"/>
      <c r="F18" s="14"/>
    </row>
    <row r="19" spans="1:6">
      <c r="A19" s="14"/>
      <c r="B19" s="103"/>
      <c r="C19" s="103"/>
      <c r="D19" s="103"/>
      <c r="E19" s="103"/>
      <c r="F19" s="14"/>
    </row>
    <row r="20" spans="1:6">
      <c r="A20" s="14"/>
      <c r="B20" s="103"/>
      <c r="C20" s="103"/>
      <c r="D20" s="103"/>
      <c r="E20" s="103"/>
      <c r="F20" s="14"/>
    </row>
    <row r="21" spans="1:6">
      <c r="A21" s="14"/>
      <c r="B21" s="103"/>
      <c r="C21" s="103"/>
      <c r="D21" s="103"/>
      <c r="E21" s="103"/>
      <c r="F21" s="14"/>
    </row>
    <row r="22" spans="1:6">
      <c r="A22" s="14"/>
      <c r="B22" s="103"/>
      <c r="C22" s="103"/>
      <c r="D22" s="103"/>
      <c r="E22" s="103"/>
      <c r="F22" s="14"/>
    </row>
    <row r="23" spans="1:6" ht="15.9" customHeight="1">
      <c r="A23" s="14"/>
      <c r="B23" s="103"/>
      <c r="C23" s="103"/>
      <c r="D23" s="103"/>
      <c r="E23" s="103"/>
      <c r="F23" s="14"/>
    </row>
    <row r="24" spans="1:6" ht="15.9" customHeight="1"/>
    <row r="25" spans="1:6" ht="15.9" customHeight="1"/>
    <row r="26" spans="1:6" ht="15.9" customHeight="1"/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3C44E-0410-DB49-9A56-DDF67B7CF7C3}">
  <sheetPr codeName="Hoja6">
    <tabColor theme="4"/>
  </sheetPr>
  <dimension ref="A7:C15"/>
  <sheetViews>
    <sheetView zoomScaleNormal="100" workbookViewId="0">
      <selection activeCell="C20" sqref="C20"/>
    </sheetView>
  </sheetViews>
  <sheetFormatPr baseColWidth="10" defaultColWidth="11" defaultRowHeight="13.2"/>
  <cols>
    <col min="1" max="1" width="17.3984375" style="14" bestFit="1" customWidth="1"/>
    <col min="2" max="2" width="9.69921875" style="103" bestFit="1" customWidth="1"/>
    <col min="3" max="3" width="16" style="103" bestFit="1" customWidth="1"/>
    <col min="4" max="4" width="22.59765625" style="14" bestFit="1" customWidth="1"/>
    <col min="5" max="5" width="18.3984375" style="14" bestFit="1" customWidth="1"/>
    <col min="6" max="16384" width="11" style="14"/>
  </cols>
  <sheetData>
    <row r="7" spans="1:3">
      <c r="A7" s="111" t="s">
        <v>7</v>
      </c>
      <c r="B7" s="113" t="s">
        <v>19</v>
      </c>
    </row>
    <row r="9" spans="1:3" ht="26.4">
      <c r="A9" s="110" t="s">
        <v>17</v>
      </c>
      <c r="B9" s="112" t="s">
        <v>43</v>
      </c>
      <c r="C9" s="112" t="s">
        <v>42</v>
      </c>
    </row>
    <row r="10" spans="1:3">
      <c r="A10" s="108" t="s">
        <v>47</v>
      </c>
      <c r="B10" s="109">
        <v>5.5</v>
      </c>
      <c r="C10" s="109">
        <v>55</v>
      </c>
    </row>
    <row r="11" spans="1:3">
      <c r="A11" s="108" t="s">
        <v>46</v>
      </c>
      <c r="B11" s="109">
        <v>3.5</v>
      </c>
      <c r="C11" s="109">
        <v>35</v>
      </c>
    </row>
    <row r="12" spans="1:3">
      <c r="A12" s="108" t="s">
        <v>45</v>
      </c>
      <c r="B12" s="109">
        <v>2</v>
      </c>
      <c r="C12" s="109">
        <v>20</v>
      </c>
    </row>
    <row r="13" spans="1:3">
      <c r="A13" s="108" t="s">
        <v>44</v>
      </c>
      <c r="B13" s="109">
        <v>1</v>
      </c>
      <c r="C13" s="109">
        <v>10</v>
      </c>
    </row>
    <row r="14" spans="1:3">
      <c r="A14" s="108" t="s">
        <v>18</v>
      </c>
      <c r="B14" s="109">
        <v>12</v>
      </c>
      <c r="C14" s="109">
        <v>120</v>
      </c>
    </row>
    <row r="15" spans="1:3" ht="15.6">
      <c r="A15"/>
      <c r="B15" s="104"/>
      <c r="C15" s="104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D5D14-E248-F142-A1E7-9DBD144C6DEB}">
  <sheetPr codeName="Hoja8">
    <tabColor rgb="FFFF0000"/>
  </sheetPr>
  <dimension ref="B9:F14"/>
  <sheetViews>
    <sheetView zoomScale="80" zoomScaleNormal="8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11" defaultRowHeight="15"/>
  <cols>
    <col min="1" max="1" width="11" style="13"/>
    <col min="2" max="2" width="11.09765625" style="13" bestFit="1" customWidth="1"/>
    <col min="3" max="3" width="15.8984375" style="13" bestFit="1" customWidth="1"/>
    <col min="4" max="6" width="17.5" style="13" bestFit="1" customWidth="1"/>
    <col min="7" max="7" width="11.09765625" style="13" bestFit="1" customWidth="1"/>
    <col min="8" max="8" width="13.5" style="13" bestFit="1" customWidth="1"/>
    <col min="9" max="12" width="11.09765625" style="13" bestFit="1" customWidth="1"/>
    <col min="13" max="13" width="27.59765625" style="13" bestFit="1" customWidth="1"/>
    <col min="14" max="16384" width="11" style="13"/>
  </cols>
  <sheetData>
    <row r="9" spans="2:6">
      <c r="B9" s="128" t="s">
        <v>26</v>
      </c>
      <c r="C9" s="128"/>
      <c r="D9" s="128"/>
      <c r="E9" s="128"/>
      <c r="F9" s="128"/>
    </row>
    <row r="10" spans="2:6">
      <c r="B10" s="128"/>
      <c r="C10" s="128"/>
      <c r="D10" s="128"/>
      <c r="E10" s="128"/>
      <c r="F10" s="128"/>
    </row>
    <row r="11" spans="2:6">
      <c r="B11" s="127">
        <f>SUM(Productos!H:H)</f>
        <v>115</v>
      </c>
      <c r="C11" s="127"/>
      <c r="D11" s="127"/>
      <c r="E11" s="127"/>
      <c r="F11" s="127"/>
    </row>
    <row r="12" spans="2:6">
      <c r="B12" s="127"/>
      <c r="C12" s="127"/>
      <c r="D12" s="127"/>
      <c r="E12" s="127"/>
      <c r="F12" s="127"/>
    </row>
    <row r="13" spans="2:6">
      <c r="B13" s="127"/>
      <c r="C13" s="127"/>
      <c r="D13" s="127"/>
      <c r="E13" s="127"/>
      <c r="F13" s="127"/>
    </row>
    <row r="14" spans="2:6">
      <c r="B14" s="127"/>
      <c r="C14" s="127"/>
      <c r="D14" s="127"/>
      <c r="E14" s="127"/>
      <c r="F14" s="127"/>
    </row>
  </sheetData>
  <mergeCells count="2">
    <mergeCell ref="B11:F14"/>
    <mergeCell ref="B9:F1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</vt:i4>
      </vt:variant>
    </vt:vector>
  </HeadingPairs>
  <TitlesOfParts>
    <vt:vector size="11" baseType="lpstr">
      <vt:lpstr>Menú</vt:lpstr>
      <vt:lpstr>Remito</vt:lpstr>
      <vt:lpstr>Productos</vt:lpstr>
      <vt:lpstr>Movimientos</vt:lpstr>
      <vt:lpstr>Ventas</vt:lpstr>
      <vt:lpstr>Compras</vt:lpstr>
      <vt:lpstr>Reporte Ventas</vt:lpstr>
      <vt:lpstr>Reporte Compras</vt:lpstr>
      <vt:lpstr>Inversion</vt:lpstr>
      <vt:lpstr>lista_codigos</vt:lpstr>
      <vt:lpstr>LISTA_PRODUCTOS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DONTIGER DONBUDY</cp:lastModifiedBy>
  <cp:lastPrinted>2020-04-23T18:13:09Z</cp:lastPrinted>
  <dcterms:created xsi:type="dcterms:W3CDTF">2019-06-17T15:36:47Z</dcterms:created>
  <dcterms:modified xsi:type="dcterms:W3CDTF">2025-01-07T04:18:18Z</dcterms:modified>
</cp:coreProperties>
</file>